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0" i="1" l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68" i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48" i="1" l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36" i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F13" i="1"/>
  <c r="E13" i="1"/>
  <c r="D13" i="1"/>
  <c r="A5" i="1"/>
  <c r="A6" i="1" s="1"/>
  <c r="A7" i="1" s="1"/>
  <c r="A8" i="1" s="1"/>
  <c r="A9" i="1" s="1"/>
  <c r="A10" i="1" s="1"/>
  <c r="A11" i="1" s="1"/>
  <c r="A12" i="1" s="1"/>
  <c r="A13" i="1" s="1"/>
  <c r="A14" i="1" s="1"/>
  <c r="A4" i="1"/>
</calcChain>
</file>

<file path=xl/sharedStrings.xml><?xml version="1.0" encoding="utf-8"?>
<sst xmlns="http://schemas.openxmlformats.org/spreadsheetml/2006/main" count="10" uniqueCount="10">
  <si>
    <t>Неделя</t>
  </si>
  <si>
    <t>Всього захворіло</t>
  </si>
  <si>
    <t>у т.ч.діти до 17 років</t>
  </si>
  <si>
    <t>18 - 29</t>
  </si>
  <si>
    <t>30 - 64</t>
  </si>
  <si>
    <t>65 та старші</t>
  </si>
  <si>
    <t>Госпіталізація</t>
  </si>
  <si>
    <t>Показник захворюваності</t>
  </si>
  <si>
    <t>Епідпоріг</t>
  </si>
  <si>
    <t>Перевищення епідпорогу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</si>
</sst>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4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Arimo"/>
    </font>
    <font>
      <sz val="11"/>
      <name val="Arimo"/>
    </font>
    <font>
      <sz val="11"/>
      <name val="Arial"/>
      <family val="2"/>
      <charset val="204"/>
    </font>
    <font>
      <sz val="10"/>
      <color theme="1"/>
      <name val="Arim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5">
    <xf numFmtId="0" fontId="0" fillId="0" borderId="0" xfId="0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right" wrapText="1"/>
    </xf>
    <xf numFmtId="1" fontId="4" fillId="0" borderId="0" xfId="2" applyNumberFormat="1" applyFont="1" applyFill="1" applyBorder="1" applyAlignment="1" applyProtection="1">
      <alignment horizontal="center" vertical="center" wrapText="1"/>
    </xf>
    <xf numFmtId="164" fontId="4" fillId="0" borderId="0" xfId="1" applyNumberFormat="1" applyFont="1" applyBorder="1" applyAlignment="1">
      <alignment horizontal="center" vertical="center" wrapText="1"/>
    </xf>
    <xf numFmtId="2" fontId="4" fillId="0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" fillId="0" borderId="0" xfId="0" applyNumberFormat="1" applyFont="1" applyBorder="1" applyAlignment="1">
      <alignment horizontal="center"/>
    </xf>
    <xf numFmtId="2" fontId="2" fillId="0" borderId="0" xfId="0" applyNumberFormat="1" applyFont="1" applyBorder="1" applyAlignment="1">
      <alignment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right" wrapText="1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</cellXfs>
  <cellStyles count="3">
    <cellStyle name="Обычный" xfId="0" builtinId="0"/>
    <cellStyle name="Обычный_У розрізі районів" xfId="2"/>
    <cellStyle name="Финансовый" xfId="1" builtinId="3"/>
  </cellStyles>
  <dxfs count="1">
    <dxf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tabSelected="1" topLeftCell="A21" workbookViewId="0">
      <selection activeCell="N42" sqref="N42"/>
    </sheetView>
  </sheetViews>
  <sheetFormatPr defaultRowHeight="15"/>
  <sheetData>
    <row r="1" spans="1:10" ht="15" customHeight="1">
      <c r="A1" s="24" t="s">
        <v>0</v>
      </c>
      <c r="B1" s="24" t="s">
        <v>1</v>
      </c>
      <c r="C1" s="23" t="s">
        <v>2</v>
      </c>
      <c r="D1" s="24" t="s">
        <v>3</v>
      </c>
      <c r="E1" s="24" t="s">
        <v>4</v>
      </c>
      <c r="F1" s="24" t="s">
        <v>5</v>
      </c>
      <c r="G1" s="23" t="s">
        <v>6</v>
      </c>
      <c r="H1" s="23" t="s">
        <v>7</v>
      </c>
      <c r="I1" s="24" t="s">
        <v>8</v>
      </c>
      <c r="J1" s="23" t="s">
        <v>9</v>
      </c>
    </row>
    <row r="2" spans="1:10">
      <c r="A2" s="24"/>
      <c r="B2" s="24"/>
      <c r="C2" s="23"/>
      <c r="D2" s="24"/>
      <c r="E2" s="24"/>
      <c r="F2" s="24"/>
      <c r="G2" s="23"/>
      <c r="H2" s="23"/>
      <c r="I2" s="24"/>
      <c r="J2" s="23"/>
    </row>
    <row r="3" spans="1:10">
      <c r="A3" s="1">
        <v>41</v>
      </c>
      <c r="B3" s="2">
        <v>7891</v>
      </c>
      <c r="C3" s="2">
        <v>5836</v>
      </c>
      <c r="D3" s="2">
        <v>639</v>
      </c>
      <c r="E3" s="2">
        <v>1147</v>
      </c>
      <c r="F3" s="2">
        <v>269</v>
      </c>
      <c r="G3" s="2">
        <v>142</v>
      </c>
      <c r="H3" s="2">
        <v>291.94</v>
      </c>
      <c r="I3" s="3">
        <v>527.44000000000005</v>
      </c>
      <c r="J3" s="4">
        <v>-44.65</v>
      </c>
    </row>
    <row r="4" spans="1:10">
      <c r="A4" s="1">
        <f>A3+1</f>
        <v>42</v>
      </c>
      <c r="B4" s="2">
        <v>6736</v>
      </c>
      <c r="C4" s="2">
        <v>4928</v>
      </c>
      <c r="D4" s="2">
        <v>517</v>
      </c>
      <c r="E4" s="2">
        <v>1029</v>
      </c>
      <c r="F4" s="2">
        <v>262</v>
      </c>
      <c r="G4" s="2">
        <v>160</v>
      </c>
      <c r="H4" s="2">
        <v>249.21</v>
      </c>
      <c r="I4" s="3">
        <v>541.73</v>
      </c>
      <c r="J4" s="4">
        <v>-54</v>
      </c>
    </row>
    <row r="5" spans="1:10">
      <c r="A5" s="1">
        <f t="shared" ref="A5:A14" si="0">A4+1</f>
        <v>43</v>
      </c>
      <c r="B5" s="2">
        <v>6835</v>
      </c>
      <c r="C5" s="2">
        <v>4392</v>
      </c>
      <c r="D5" s="2">
        <v>796</v>
      </c>
      <c r="E5" s="2">
        <v>1307</v>
      </c>
      <c r="F5" s="2">
        <v>340</v>
      </c>
      <c r="G5" s="2">
        <v>147</v>
      </c>
      <c r="H5" s="2">
        <v>252.87</v>
      </c>
      <c r="I5" s="3">
        <v>634.04999999999995</v>
      </c>
      <c r="J5" s="4">
        <v>-60.12</v>
      </c>
    </row>
    <row r="6" spans="1:10">
      <c r="A6" s="1">
        <f t="shared" si="0"/>
        <v>44</v>
      </c>
      <c r="B6" s="2">
        <v>7595</v>
      </c>
      <c r="C6" s="2">
        <v>4965</v>
      </c>
      <c r="D6" s="2">
        <v>870</v>
      </c>
      <c r="E6" s="2">
        <v>1377</v>
      </c>
      <c r="F6" s="2">
        <v>383</v>
      </c>
      <c r="G6" s="2">
        <v>160</v>
      </c>
      <c r="H6" s="2">
        <v>280.99</v>
      </c>
      <c r="I6" s="3">
        <v>568.91999999999996</v>
      </c>
      <c r="J6" s="4">
        <v>-50.61</v>
      </c>
    </row>
    <row r="7" spans="1:10">
      <c r="A7" s="1">
        <f t="shared" si="0"/>
        <v>45</v>
      </c>
      <c r="B7" s="2">
        <v>8209</v>
      </c>
      <c r="C7" s="2">
        <v>5511</v>
      </c>
      <c r="D7" s="2">
        <v>894</v>
      </c>
      <c r="E7" s="2">
        <v>1448</v>
      </c>
      <c r="F7" s="2">
        <v>356</v>
      </c>
      <c r="G7" s="2">
        <v>168</v>
      </c>
      <c r="H7" s="2">
        <v>303.7</v>
      </c>
      <c r="I7" s="3">
        <v>572.41999999999996</v>
      </c>
      <c r="J7" s="4">
        <v>-46.94</v>
      </c>
    </row>
    <row r="8" spans="1:10">
      <c r="A8" s="1">
        <f t="shared" si="0"/>
        <v>46</v>
      </c>
      <c r="B8" s="2">
        <v>8408</v>
      </c>
      <c r="C8" s="2">
        <v>5900</v>
      </c>
      <c r="D8" s="2">
        <v>786</v>
      </c>
      <c r="E8" s="2">
        <v>1356</v>
      </c>
      <c r="F8" s="2">
        <v>366</v>
      </c>
      <c r="G8" s="2">
        <v>182</v>
      </c>
      <c r="H8" s="2">
        <v>311.06</v>
      </c>
      <c r="I8" s="3">
        <v>506.75</v>
      </c>
      <c r="J8" s="4">
        <v>-38.619999999999997</v>
      </c>
    </row>
    <row r="9" spans="1:10">
      <c r="A9" s="1">
        <f t="shared" si="0"/>
        <v>47</v>
      </c>
      <c r="B9" s="2">
        <v>9037</v>
      </c>
      <c r="C9" s="2">
        <v>6532</v>
      </c>
      <c r="D9" s="2">
        <v>766</v>
      </c>
      <c r="E9" s="2">
        <v>1365</v>
      </c>
      <c r="F9" s="2">
        <v>374</v>
      </c>
      <c r="G9" s="2">
        <v>192</v>
      </c>
      <c r="H9" s="2">
        <v>334.33</v>
      </c>
      <c r="I9" s="3">
        <v>554.96</v>
      </c>
      <c r="J9" s="4">
        <v>-39.76</v>
      </c>
    </row>
    <row r="10" spans="1:10">
      <c r="A10" s="1">
        <f t="shared" si="0"/>
        <v>48</v>
      </c>
      <c r="B10" s="2">
        <v>8933</v>
      </c>
      <c r="C10" s="2">
        <v>6558</v>
      </c>
      <c r="D10" s="2">
        <v>705</v>
      </c>
      <c r="E10" s="2">
        <v>1342</v>
      </c>
      <c r="F10" s="2">
        <v>328</v>
      </c>
      <c r="G10" s="2">
        <v>177</v>
      </c>
      <c r="H10" s="2">
        <v>330.49</v>
      </c>
      <c r="I10" s="3">
        <v>606.58000000000004</v>
      </c>
      <c r="J10" s="4">
        <v>-45.52</v>
      </c>
    </row>
    <row r="11" spans="1:10">
      <c r="A11" s="1">
        <f t="shared" si="0"/>
        <v>49</v>
      </c>
      <c r="B11" s="2">
        <v>8791</v>
      </c>
      <c r="C11" s="2">
        <v>6437</v>
      </c>
      <c r="D11" s="2">
        <v>647</v>
      </c>
      <c r="E11" s="2">
        <v>1372</v>
      </c>
      <c r="F11" s="2">
        <v>334</v>
      </c>
      <c r="G11" s="2">
        <v>177</v>
      </c>
      <c r="H11" s="2">
        <v>325.23</v>
      </c>
      <c r="I11" s="3">
        <v>656.25</v>
      </c>
      <c r="J11" s="4">
        <v>-50.44</v>
      </c>
    </row>
    <row r="12" spans="1:10">
      <c r="A12" s="1">
        <f t="shared" si="0"/>
        <v>50</v>
      </c>
      <c r="B12" s="2">
        <v>8508</v>
      </c>
      <c r="C12" s="2">
        <v>6284</v>
      </c>
      <c r="D12" s="2">
        <v>608</v>
      </c>
      <c r="E12" s="2">
        <v>1291</v>
      </c>
      <c r="F12" s="2">
        <v>325</v>
      </c>
      <c r="G12" s="2">
        <v>168</v>
      </c>
      <c r="H12" s="2">
        <v>314.76</v>
      </c>
      <c r="I12" s="3">
        <v>635.91</v>
      </c>
      <c r="J12" s="4">
        <v>-50.5</v>
      </c>
    </row>
    <row r="13" spans="1:10">
      <c r="A13" s="1">
        <f t="shared" si="0"/>
        <v>51</v>
      </c>
      <c r="B13" s="5">
        <v>7839</v>
      </c>
      <c r="C13" s="5">
        <v>5828</v>
      </c>
      <c r="D13" s="5">
        <f>560</f>
        <v>560</v>
      </c>
      <c r="E13" s="5">
        <f>1162</f>
        <v>1162</v>
      </c>
      <c r="F13" s="5">
        <f>289</f>
        <v>289</v>
      </c>
      <c r="G13" s="6">
        <v>191</v>
      </c>
      <c r="H13" s="7">
        <v>290.01</v>
      </c>
      <c r="I13" s="8">
        <v>619.66</v>
      </c>
      <c r="J13" s="9">
        <v>-53.2</v>
      </c>
    </row>
    <row r="14" spans="1:10">
      <c r="A14" s="1">
        <f t="shared" si="0"/>
        <v>52</v>
      </c>
      <c r="B14" s="2">
        <v>6404</v>
      </c>
      <c r="C14" s="2">
        <v>4699</v>
      </c>
      <c r="D14" s="2">
        <v>546</v>
      </c>
      <c r="E14" s="2">
        <v>927</v>
      </c>
      <c r="F14" s="2">
        <v>232</v>
      </c>
      <c r="G14" s="2">
        <v>144</v>
      </c>
      <c r="H14" s="2">
        <v>236.92</v>
      </c>
      <c r="I14" s="3">
        <v>572.44000000000005</v>
      </c>
      <c r="J14" s="4">
        <v>-58.61</v>
      </c>
    </row>
    <row r="15" spans="1:10">
      <c r="A15" s="1">
        <v>1</v>
      </c>
      <c r="B15" s="2">
        <v>5826</v>
      </c>
      <c r="C15" s="2">
        <v>4004</v>
      </c>
      <c r="D15" s="2">
        <v>482</v>
      </c>
      <c r="E15" s="2">
        <v>1042</v>
      </c>
      <c r="F15" s="2">
        <v>298</v>
      </c>
      <c r="G15" s="2">
        <v>136</v>
      </c>
      <c r="H15" s="2">
        <v>216.94</v>
      </c>
      <c r="I15" s="3">
        <v>670.5</v>
      </c>
      <c r="J15" s="4">
        <v>-67.650000000000006</v>
      </c>
    </row>
    <row r="16" spans="1:10">
      <c r="A16" s="1">
        <f>A15+1</f>
        <v>2</v>
      </c>
      <c r="B16" s="2">
        <v>5993</v>
      </c>
      <c r="C16" s="2">
        <v>3647</v>
      </c>
      <c r="D16" s="2">
        <v>587</v>
      </c>
      <c r="E16" s="2">
        <v>1322</v>
      </c>
      <c r="F16" s="2">
        <v>437</v>
      </c>
      <c r="G16" s="2">
        <v>179</v>
      </c>
      <c r="H16" s="2">
        <v>223.16</v>
      </c>
      <c r="I16" s="3">
        <v>822.13</v>
      </c>
      <c r="J16" s="4">
        <v>-72.86</v>
      </c>
    </row>
    <row r="17" spans="1:10">
      <c r="A17" s="1">
        <f t="shared" ref="A17:A34" si="1">A16+1</f>
        <v>3</v>
      </c>
      <c r="B17" s="2">
        <v>7666</v>
      </c>
      <c r="C17" s="2">
        <v>4984</v>
      </c>
      <c r="D17" s="2">
        <v>720</v>
      </c>
      <c r="E17" s="2">
        <v>1569</v>
      </c>
      <c r="F17" s="2">
        <v>393</v>
      </c>
      <c r="G17" s="2">
        <v>175</v>
      </c>
      <c r="H17" s="2">
        <v>285.45</v>
      </c>
      <c r="I17" s="3">
        <v>655.88</v>
      </c>
      <c r="J17" s="4">
        <v>-56.48</v>
      </c>
    </row>
    <row r="18" spans="1:10">
      <c r="A18" s="1">
        <f t="shared" si="1"/>
        <v>4</v>
      </c>
      <c r="B18" s="2">
        <v>8734</v>
      </c>
      <c r="C18" s="2">
        <v>6085</v>
      </c>
      <c r="D18" s="2">
        <v>708</v>
      </c>
      <c r="E18" s="2">
        <v>1511</v>
      </c>
      <c r="F18" s="2">
        <v>430</v>
      </c>
      <c r="G18" s="2">
        <v>211</v>
      </c>
      <c r="H18" s="2">
        <v>325.22000000000003</v>
      </c>
      <c r="I18" s="3">
        <v>598.08000000000004</v>
      </c>
      <c r="J18" s="4">
        <v>-45.62</v>
      </c>
    </row>
    <row r="19" spans="1:10">
      <c r="A19" s="1">
        <f t="shared" si="1"/>
        <v>5</v>
      </c>
      <c r="B19" s="2">
        <v>10813</v>
      </c>
      <c r="C19" s="2">
        <v>7683</v>
      </c>
      <c r="D19" s="2">
        <v>840</v>
      </c>
      <c r="E19" s="2">
        <v>1794</v>
      </c>
      <c r="F19" s="2">
        <v>496</v>
      </c>
      <c r="G19" s="2">
        <v>229</v>
      </c>
      <c r="H19" s="2">
        <v>402.64</v>
      </c>
      <c r="I19" s="3">
        <v>795.01</v>
      </c>
      <c r="J19" s="4">
        <v>-49.35</v>
      </c>
    </row>
    <row r="20" spans="1:10">
      <c r="A20" s="1">
        <f t="shared" si="1"/>
        <v>6</v>
      </c>
      <c r="B20" s="2">
        <v>11914</v>
      </c>
      <c r="C20" s="2">
        <v>8706</v>
      </c>
      <c r="D20" s="2">
        <v>822</v>
      </c>
      <c r="E20" s="2">
        <v>1915</v>
      </c>
      <c r="F20" s="2">
        <v>471</v>
      </c>
      <c r="G20" s="2">
        <v>255</v>
      </c>
      <c r="H20" s="2">
        <v>443.63</v>
      </c>
      <c r="I20" s="3">
        <v>836.49</v>
      </c>
      <c r="J20" s="4">
        <v>-46.96</v>
      </c>
    </row>
    <row r="21" spans="1:10">
      <c r="A21" s="1">
        <f t="shared" si="1"/>
        <v>7</v>
      </c>
      <c r="B21" s="2">
        <v>13468</v>
      </c>
      <c r="C21" s="2">
        <v>9800</v>
      </c>
      <c r="D21" s="2">
        <v>1054</v>
      </c>
      <c r="E21" s="2">
        <v>2110</v>
      </c>
      <c r="F21" s="2">
        <v>504</v>
      </c>
      <c r="G21" s="2">
        <v>232</v>
      </c>
      <c r="H21" s="2">
        <v>501.5</v>
      </c>
      <c r="I21" s="3">
        <v>954.18</v>
      </c>
      <c r="J21" s="4">
        <v>-47.44</v>
      </c>
    </row>
    <row r="22" spans="1:10">
      <c r="A22" s="1">
        <f t="shared" si="1"/>
        <v>8</v>
      </c>
      <c r="B22" s="2">
        <v>14233</v>
      </c>
      <c r="C22" s="2">
        <v>10482</v>
      </c>
      <c r="D22" s="2">
        <v>985</v>
      </c>
      <c r="E22" s="2">
        <v>2191</v>
      </c>
      <c r="F22" s="2">
        <v>575</v>
      </c>
      <c r="G22" s="2">
        <v>278</v>
      </c>
      <c r="H22" s="2">
        <v>529.98</v>
      </c>
      <c r="I22" s="3">
        <v>933.02</v>
      </c>
      <c r="J22" s="4">
        <v>-43.2</v>
      </c>
    </row>
    <row r="23" spans="1:10">
      <c r="A23" s="1">
        <f t="shared" si="1"/>
        <v>9</v>
      </c>
      <c r="B23" s="2">
        <v>13761</v>
      </c>
      <c r="C23" s="2">
        <v>9545</v>
      </c>
      <c r="D23" s="2">
        <v>1189</v>
      </c>
      <c r="E23" s="2">
        <v>2466</v>
      </c>
      <c r="F23" s="2">
        <v>561</v>
      </c>
      <c r="G23" s="2">
        <v>231</v>
      </c>
      <c r="H23" s="2">
        <v>512.41</v>
      </c>
      <c r="I23" s="3">
        <v>854.78</v>
      </c>
      <c r="J23" s="4">
        <v>-40.049999999999997</v>
      </c>
    </row>
    <row r="24" spans="1:10">
      <c r="A24" s="1">
        <f t="shared" si="1"/>
        <v>10</v>
      </c>
      <c r="B24" s="2">
        <v>8265</v>
      </c>
      <c r="C24" s="2">
        <v>5011</v>
      </c>
      <c r="D24" s="2">
        <v>874</v>
      </c>
      <c r="E24" s="2">
        <v>1898</v>
      </c>
      <c r="F24" s="2">
        <v>482</v>
      </c>
      <c r="G24" s="2">
        <v>219</v>
      </c>
      <c r="H24" s="2">
        <v>307.76</v>
      </c>
      <c r="I24" s="3">
        <v>807.04</v>
      </c>
      <c r="J24" s="4">
        <v>-61.87</v>
      </c>
    </row>
    <row r="25" spans="1:10">
      <c r="A25" s="1">
        <f t="shared" si="1"/>
        <v>11</v>
      </c>
      <c r="B25" s="2">
        <v>9045</v>
      </c>
      <c r="C25" s="2">
        <v>5331</v>
      </c>
      <c r="D25" s="2">
        <v>943</v>
      </c>
      <c r="E25" s="2">
        <v>2197</v>
      </c>
      <c r="F25" s="2">
        <v>574</v>
      </c>
      <c r="G25" s="2">
        <v>229</v>
      </c>
      <c r="H25" s="2">
        <v>336.8</v>
      </c>
      <c r="I25" s="3">
        <v>671.92</v>
      </c>
      <c r="J25" s="4">
        <v>-49.87</v>
      </c>
    </row>
    <row r="26" spans="1:10">
      <c r="A26" s="1">
        <f t="shared" si="1"/>
        <v>12</v>
      </c>
      <c r="B26" s="2">
        <v>8740</v>
      </c>
      <c r="C26" s="2">
        <v>5362</v>
      </c>
      <c r="D26" s="2">
        <v>904</v>
      </c>
      <c r="E26" s="2">
        <v>1999</v>
      </c>
      <c r="F26" s="2">
        <v>475</v>
      </c>
      <c r="G26" s="2">
        <v>200</v>
      </c>
      <c r="H26" s="2">
        <v>325.45</v>
      </c>
      <c r="I26" s="3">
        <v>661.38</v>
      </c>
      <c r="J26" s="4">
        <v>-50.79</v>
      </c>
    </row>
    <row r="27" spans="1:10">
      <c r="A27" s="1">
        <f t="shared" si="1"/>
        <v>13</v>
      </c>
      <c r="B27" s="2">
        <v>7454</v>
      </c>
      <c r="C27" s="2">
        <v>4413</v>
      </c>
      <c r="D27" s="2">
        <v>775</v>
      </c>
      <c r="E27" s="2">
        <v>1752</v>
      </c>
      <c r="F27" s="2">
        <v>514</v>
      </c>
      <c r="G27" s="2">
        <v>168</v>
      </c>
      <c r="H27" s="2">
        <v>277.56</v>
      </c>
      <c r="I27" s="3">
        <v>591.14</v>
      </c>
      <c r="J27" s="4">
        <v>-53.05</v>
      </c>
    </row>
    <row r="28" spans="1:10">
      <c r="A28" s="1">
        <f t="shared" si="1"/>
        <v>14</v>
      </c>
      <c r="B28" s="2">
        <v>6214</v>
      </c>
      <c r="C28" s="2">
        <v>3729</v>
      </c>
      <c r="D28" s="2">
        <v>632</v>
      </c>
      <c r="E28" s="2">
        <v>1469</v>
      </c>
      <c r="F28" s="2">
        <v>384</v>
      </c>
      <c r="G28" s="2">
        <v>160</v>
      </c>
      <c r="H28" s="2">
        <v>231.39</v>
      </c>
      <c r="I28" s="3">
        <v>488.08</v>
      </c>
      <c r="J28" s="4">
        <v>-52.59</v>
      </c>
    </row>
    <row r="29" spans="1:10">
      <c r="A29" s="1">
        <f t="shared" si="1"/>
        <v>15</v>
      </c>
      <c r="B29" s="2">
        <v>5343</v>
      </c>
      <c r="C29" s="2">
        <v>3363</v>
      </c>
      <c r="D29" s="2">
        <v>500</v>
      </c>
      <c r="E29" s="2">
        <v>1149</v>
      </c>
      <c r="F29" s="2">
        <v>331</v>
      </c>
      <c r="G29" s="2">
        <v>145</v>
      </c>
      <c r="H29" s="2">
        <v>198.95</v>
      </c>
      <c r="I29" s="3">
        <v>518.27</v>
      </c>
      <c r="J29" s="4">
        <v>-61.61</v>
      </c>
    </row>
    <row r="30" spans="1:10">
      <c r="A30" s="1">
        <f t="shared" si="1"/>
        <v>16</v>
      </c>
      <c r="B30" s="2">
        <v>5864</v>
      </c>
      <c r="C30" s="2">
        <v>3775</v>
      </c>
      <c r="D30" s="2">
        <v>524</v>
      </c>
      <c r="E30" s="2">
        <v>1224</v>
      </c>
      <c r="F30" s="2">
        <v>341</v>
      </c>
      <c r="G30" s="2">
        <v>138</v>
      </c>
      <c r="H30" s="2">
        <v>218.35</v>
      </c>
      <c r="I30" s="3">
        <v>486.36</v>
      </c>
      <c r="J30" s="4">
        <v>-55.1</v>
      </c>
    </row>
    <row r="31" spans="1:10">
      <c r="A31" s="1">
        <f t="shared" si="1"/>
        <v>17</v>
      </c>
      <c r="B31" s="2">
        <v>5932</v>
      </c>
      <c r="C31" s="2">
        <v>4019</v>
      </c>
      <c r="D31" s="2">
        <v>451</v>
      </c>
      <c r="E31" s="2">
        <v>1161</v>
      </c>
      <c r="F31" s="2">
        <v>301</v>
      </c>
      <c r="G31" s="2">
        <v>132</v>
      </c>
      <c r="H31" s="2">
        <v>220.89</v>
      </c>
      <c r="I31" s="3">
        <v>418.65</v>
      </c>
      <c r="J31" s="4">
        <v>-47.24</v>
      </c>
    </row>
    <row r="32" spans="1:10">
      <c r="A32" s="1">
        <f t="shared" si="1"/>
        <v>18</v>
      </c>
      <c r="B32" s="2">
        <v>3975</v>
      </c>
      <c r="C32" s="2">
        <v>2658</v>
      </c>
      <c r="D32" s="2">
        <v>322</v>
      </c>
      <c r="E32" s="2">
        <v>783</v>
      </c>
      <c r="F32" s="2">
        <v>212</v>
      </c>
      <c r="G32" s="2">
        <v>142</v>
      </c>
      <c r="H32" s="2">
        <v>148.01</v>
      </c>
      <c r="I32" s="3">
        <v>340.46</v>
      </c>
      <c r="J32" s="4">
        <v>-56.53</v>
      </c>
    </row>
    <row r="33" spans="1:10">
      <c r="A33" s="1">
        <f t="shared" si="1"/>
        <v>19</v>
      </c>
      <c r="B33" s="2">
        <v>3970</v>
      </c>
      <c r="C33" s="2">
        <v>2645</v>
      </c>
      <c r="D33" s="2">
        <v>312</v>
      </c>
      <c r="E33" s="2">
        <v>816</v>
      </c>
      <c r="F33" s="2">
        <v>197</v>
      </c>
      <c r="G33" s="2">
        <v>118</v>
      </c>
      <c r="H33" s="2">
        <v>147.83000000000001</v>
      </c>
      <c r="I33" s="3">
        <v>384.56</v>
      </c>
      <c r="J33" s="4">
        <v>-61.56</v>
      </c>
    </row>
    <row r="34" spans="1:10">
      <c r="A34" s="1">
        <f t="shared" si="1"/>
        <v>20</v>
      </c>
      <c r="B34" s="2">
        <v>3990</v>
      </c>
      <c r="C34" s="2">
        <v>2649</v>
      </c>
      <c r="D34" s="2">
        <v>326</v>
      </c>
      <c r="E34" s="2">
        <v>795</v>
      </c>
      <c r="F34" s="2">
        <v>220</v>
      </c>
      <c r="G34" s="2">
        <v>69</v>
      </c>
      <c r="H34" s="2">
        <v>148.57</v>
      </c>
      <c r="I34" s="3">
        <v>459.97</v>
      </c>
      <c r="J34" s="4">
        <v>-67.7</v>
      </c>
    </row>
    <row r="35" spans="1:10">
      <c r="A35" s="1">
        <v>41</v>
      </c>
      <c r="B35" s="10">
        <v>5432</v>
      </c>
      <c r="C35" s="10">
        <v>3618</v>
      </c>
      <c r="D35" s="10">
        <v>491</v>
      </c>
      <c r="E35" s="10">
        <v>1113</v>
      </c>
      <c r="F35" s="10">
        <v>210</v>
      </c>
      <c r="G35" s="10">
        <v>138</v>
      </c>
      <c r="H35" s="11">
        <v>202.27</v>
      </c>
      <c r="I35" s="12">
        <v>501.71</v>
      </c>
      <c r="J35" s="13">
        <v>-61.17</v>
      </c>
    </row>
    <row r="36" spans="1:10">
      <c r="A36" s="1">
        <f>A35+1</f>
        <v>42</v>
      </c>
      <c r="B36" s="10">
        <v>4261</v>
      </c>
      <c r="C36" s="10">
        <v>2875</v>
      </c>
      <c r="D36" s="10">
        <v>376</v>
      </c>
      <c r="E36" s="10">
        <v>835</v>
      </c>
      <c r="F36" s="10">
        <v>175</v>
      </c>
      <c r="G36" s="10">
        <v>136</v>
      </c>
      <c r="H36" s="11">
        <v>158.66</v>
      </c>
      <c r="I36" s="12">
        <v>501.71</v>
      </c>
      <c r="J36" s="13">
        <v>-70.45</v>
      </c>
    </row>
    <row r="37" spans="1:10">
      <c r="A37" s="1">
        <f t="shared" ref="A37:A46" si="2">A36+1</f>
        <v>43</v>
      </c>
      <c r="B37" s="10">
        <v>4740</v>
      </c>
      <c r="C37" s="10">
        <v>3066</v>
      </c>
      <c r="D37" s="10">
        <v>478</v>
      </c>
      <c r="E37" s="10">
        <v>978</v>
      </c>
      <c r="F37" s="10">
        <v>218</v>
      </c>
      <c r="G37" s="10">
        <v>118</v>
      </c>
      <c r="H37" s="11">
        <v>176.5</v>
      </c>
      <c r="I37" s="12">
        <v>501.71</v>
      </c>
      <c r="J37" s="13">
        <v>-71.81</v>
      </c>
    </row>
    <row r="38" spans="1:10">
      <c r="A38" s="1">
        <f t="shared" si="2"/>
        <v>44</v>
      </c>
      <c r="B38" s="10">
        <v>4349</v>
      </c>
      <c r="C38" s="10">
        <v>2721</v>
      </c>
      <c r="D38" s="10">
        <v>445</v>
      </c>
      <c r="E38" s="10">
        <v>958</v>
      </c>
      <c r="F38" s="10">
        <v>225</v>
      </c>
      <c r="G38" s="10">
        <v>108</v>
      </c>
      <c r="H38" s="11">
        <v>161.94</v>
      </c>
      <c r="I38" s="12">
        <v>501.71</v>
      </c>
      <c r="J38" s="13">
        <v>-71.11</v>
      </c>
    </row>
    <row r="39" spans="1:10">
      <c r="A39" s="1">
        <f t="shared" si="2"/>
        <v>45</v>
      </c>
      <c r="B39" s="10">
        <v>4988</v>
      </c>
      <c r="C39" s="10">
        <v>3236</v>
      </c>
      <c r="D39" s="10">
        <v>446</v>
      </c>
      <c r="E39" s="10">
        <v>1101</v>
      </c>
      <c r="F39" s="10">
        <v>205</v>
      </c>
      <c r="G39" s="10">
        <v>137</v>
      </c>
      <c r="H39" s="11">
        <v>185.73</v>
      </c>
      <c r="I39" s="12">
        <v>501.71</v>
      </c>
      <c r="J39" s="13">
        <v>-67.099999999999994</v>
      </c>
    </row>
    <row r="40" spans="1:10">
      <c r="A40" s="1">
        <f t="shared" si="2"/>
        <v>46</v>
      </c>
      <c r="B40" s="10">
        <v>6484</v>
      </c>
      <c r="C40" s="10">
        <v>3875</v>
      </c>
      <c r="D40" s="10">
        <v>607</v>
      </c>
      <c r="E40" s="10">
        <v>1645</v>
      </c>
      <c r="F40" s="10">
        <v>357</v>
      </c>
      <c r="G40" s="10">
        <v>199</v>
      </c>
      <c r="H40" s="11">
        <v>241.44</v>
      </c>
      <c r="I40" s="12">
        <v>501.71</v>
      </c>
      <c r="J40" s="13">
        <v>-51.8</v>
      </c>
    </row>
    <row r="41" spans="1:10">
      <c r="A41" s="1">
        <f t="shared" si="2"/>
        <v>47</v>
      </c>
      <c r="B41" s="10">
        <v>9776</v>
      </c>
      <c r="C41" s="10">
        <v>5843</v>
      </c>
      <c r="D41" s="10">
        <v>820</v>
      </c>
      <c r="E41" s="10">
        <v>2554</v>
      </c>
      <c r="F41" s="10">
        <v>559</v>
      </c>
      <c r="G41" s="10">
        <v>261</v>
      </c>
      <c r="H41" s="11">
        <v>364.02</v>
      </c>
      <c r="I41" s="12">
        <v>501.71</v>
      </c>
      <c r="J41" s="13">
        <v>-27.44</v>
      </c>
    </row>
    <row r="42" spans="1:10">
      <c r="A42" s="1">
        <f t="shared" si="2"/>
        <v>48</v>
      </c>
      <c r="B42" s="10">
        <v>15010</v>
      </c>
      <c r="C42" s="10">
        <v>8132</v>
      </c>
      <c r="D42" s="10">
        <v>1454</v>
      </c>
      <c r="E42" s="10">
        <v>4515</v>
      </c>
      <c r="F42" s="10">
        <v>909</v>
      </c>
      <c r="G42" s="10">
        <v>379</v>
      </c>
      <c r="H42" s="11">
        <v>558.91999999999996</v>
      </c>
      <c r="I42" s="12">
        <v>501.71</v>
      </c>
      <c r="J42" s="13">
        <v>11.4</v>
      </c>
    </row>
    <row r="43" spans="1:10">
      <c r="A43" s="1">
        <f t="shared" si="2"/>
        <v>49</v>
      </c>
      <c r="B43" s="10">
        <v>16600</v>
      </c>
      <c r="C43" s="10">
        <v>8509</v>
      </c>
      <c r="D43" s="10">
        <v>1619</v>
      </c>
      <c r="E43" s="10">
        <v>5275</v>
      </c>
      <c r="F43" s="10">
        <v>1197</v>
      </c>
      <c r="G43" s="10">
        <v>368</v>
      </c>
      <c r="H43" s="11">
        <v>618.12</v>
      </c>
      <c r="I43" s="12">
        <v>501.71</v>
      </c>
      <c r="J43" s="13">
        <v>23.2</v>
      </c>
    </row>
    <row r="44" spans="1:10">
      <c r="A44" s="1">
        <f t="shared" si="2"/>
        <v>50</v>
      </c>
      <c r="B44" s="14">
        <v>14353</v>
      </c>
      <c r="C44" s="14">
        <v>7741</v>
      </c>
      <c r="D44" s="14">
        <v>1357</v>
      </c>
      <c r="E44" s="14">
        <v>4220</v>
      </c>
      <c r="F44" s="14">
        <v>1035</v>
      </c>
      <c r="G44" s="14">
        <v>289</v>
      </c>
      <c r="H44" s="15">
        <v>534.45000000000005</v>
      </c>
      <c r="I44" s="16">
        <v>501.71</v>
      </c>
      <c r="J44" s="17">
        <v>6.53</v>
      </c>
    </row>
    <row r="45" spans="1:10">
      <c r="A45" s="1">
        <f t="shared" si="2"/>
        <v>51</v>
      </c>
      <c r="B45" s="10">
        <v>9817</v>
      </c>
      <c r="C45" s="10">
        <v>5485</v>
      </c>
      <c r="D45" s="10">
        <v>927</v>
      </c>
      <c r="E45" s="10">
        <v>2746</v>
      </c>
      <c r="F45" s="10">
        <v>659</v>
      </c>
      <c r="G45" s="10">
        <v>254</v>
      </c>
      <c r="H45" s="11">
        <v>365.55</v>
      </c>
      <c r="I45" s="12">
        <v>501.71</v>
      </c>
      <c r="J45" s="13">
        <v>-27.14</v>
      </c>
    </row>
    <row r="46" spans="1:10">
      <c r="A46" s="1">
        <f t="shared" si="2"/>
        <v>52</v>
      </c>
      <c r="B46" s="10">
        <v>5499</v>
      </c>
      <c r="C46" s="10">
        <v>3054</v>
      </c>
      <c r="D46" s="10">
        <v>497</v>
      </c>
      <c r="E46" s="10">
        <v>1610</v>
      </c>
      <c r="F46" s="10">
        <v>338</v>
      </c>
      <c r="G46" s="10">
        <v>174</v>
      </c>
      <c r="H46" s="11">
        <v>204.76</v>
      </c>
      <c r="I46" s="12">
        <v>501.71</v>
      </c>
      <c r="J46" s="13">
        <v>-59.19</v>
      </c>
    </row>
    <row r="47" spans="1:10">
      <c r="A47" s="1">
        <v>1</v>
      </c>
      <c r="B47" s="10">
        <v>4148</v>
      </c>
      <c r="C47" s="10">
        <v>2355</v>
      </c>
      <c r="D47" s="10">
        <v>401</v>
      </c>
      <c r="E47" s="10">
        <v>1173</v>
      </c>
      <c r="F47" s="10">
        <v>219</v>
      </c>
      <c r="G47" s="10">
        <v>112</v>
      </c>
      <c r="H47" s="11">
        <v>154.87</v>
      </c>
      <c r="I47" s="12">
        <v>501.71</v>
      </c>
      <c r="J47" s="13">
        <v>-69.13</v>
      </c>
    </row>
    <row r="48" spans="1:10">
      <c r="A48" s="1">
        <f>A47+1</f>
        <v>2</v>
      </c>
      <c r="B48" s="10">
        <v>4463</v>
      </c>
      <c r="C48" s="10">
        <v>2341</v>
      </c>
      <c r="D48" s="10">
        <v>493</v>
      </c>
      <c r="E48" s="10">
        <v>1326</v>
      </c>
      <c r="F48" s="10">
        <v>303</v>
      </c>
      <c r="G48" s="10">
        <v>129</v>
      </c>
      <c r="H48" s="11">
        <v>166.63</v>
      </c>
      <c r="I48" s="12">
        <v>501.71</v>
      </c>
      <c r="J48" s="13">
        <v>-66.790000000000006</v>
      </c>
    </row>
    <row r="49" spans="1:10">
      <c r="A49" s="1">
        <f t="shared" ref="A49:A66" si="3">A48+1</f>
        <v>3</v>
      </c>
      <c r="B49" s="10">
        <v>5078</v>
      </c>
      <c r="C49" s="10">
        <v>2850</v>
      </c>
      <c r="D49" s="10">
        <v>591</v>
      </c>
      <c r="E49" s="10">
        <v>1346</v>
      </c>
      <c r="F49" s="10">
        <v>291</v>
      </c>
      <c r="G49" s="10">
        <v>107</v>
      </c>
      <c r="H49" s="11">
        <v>189.59</v>
      </c>
      <c r="I49" s="12">
        <v>501.71</v>
      </c>
      <c r="J49" s="13">
        <v>-62.21</v>
      </c>
    </row>
    <row r="50" spans="1:10">
      <c r="A50" s="1">
        <f t="shared" si="3"/>
        <v>4</v>
      </c>
      <c r="B50" s="10">
        <v>5252</v>
      </c>
      <c r="C50" s="10">
        <v>3199</v>
      </c>
      <c r="D50" s="10">
        <v>484</v>
      </c>
      <c r="E50" s="10">
        <v>1298</v>
      </c>
      <c r="F50" s="10">
        <v>271</v>
      </c>
      <c r="G50" s="10">
        <v>121</v>
      </c>
      <c r="H50" s="11">
        <v>196.09</v>
      </c>
      <c r="I50" s="12">
        <v>501.71</v>
      </c>
      <c r="J50" s="13">
        <v>-60.92</v>
      </c>
    </row>
    <row r="51" spans="1:10">
      <c r="A51" s="1">
        <f t="shared" si="3"/>
        <v>5</v>
      </c>
      <c r="B51" s="10">
        <v>5731</v>
      </c>
      <c r="C51" s="10">
        <v>3527</v>
      </c>
      <c r="D51" s="10">
        <v>538</v>
      </c>
      <c r="E51" s="10">
        <v>1341</v>
      </c>
      <c r="F51" s="10">
        <v>325</v>
      </c>
      <c r="G51" s="10">
        <v>138</v>
      </c>
      <c r="H51" s="11">
        <v>213.97</v>
      </c>
      <c r="I51" s="12">
        <v>501.71</v>
      </c>
      <c r="J51" s="13">
        <v>-57.35</v>
      </c>
    </row>
    <row r="52" spans="1:10">
      <c r="A52" s="1">
        <f t="shared" si="3"/>
        <v>6</v>
      </c>
      <c r="B52" s="10">
        <v>6493</v>
      </c>
      <c r="C52" s="10">
        <v>4091</v>
      </c>
      <c r="D52" s="10">
        <v>670</v>
      </c>
      <c r="E52" s="10">
        <v>1448</v>
      </c>
      <c r="F52" s="10">
        <v>284</v>
      </c>
      <c r="G52" s="10">
        <v>132</v>
      </c>
      <c r="H52" s="11">
        <v>242.42</v>
      </c>
      <c r="I52" s="12">
        <v>501.71</v>
      </c>
      <c r="J52" s="13">
        <v>-51.68</v>
      </c>
    </row>
    <row r="53" spans="1:10">
      <c r="A53" s="1">
        <f t="shared" si="3"/>
        <v>7</v>
      </c>
      <c r="B53" s="10">
        <v>6182</v>
      </c>
      <c r="C53" s="10">
        <v>3938</v>
      </c>
      <c r="D53" s="10">
        <v>671</v>
      </c>
      <c r="E53" s="10">
        <v>1299</v>
      </c>
      <c r="F53" s="10">
        <v>274</v>
      </c>
      <c r="G53" s="10">
        <v>147</v>
      </c>
      <c r="H53" s="11">
        <v>230.81</v>
      </c>
      <c r="I53" s="12">
        <v>501.71</v>
      </c>
      <c r="J53" s="13">
        <v>-53.99</v>
      </c>
    </row>
    <row r="54" spans="1:10">
      <c r="A54" s="1">
        <f t="shared" si="3"/>
        <v>8</v>
      </c>
      <c r="B54" s="10">
        <v>6086</v>
      </c>
      <c r="C54" s="10">
        <v>3756</v>
      </c>
      <c r="D54" s="10">
        <v>649</v>
      </c>
      <c r="E54" s="10">
        <v>1359</v>
      </c>
      <c r="F54" s="10">
        <v>322</v>
      </c>
      <c r="G54" s="10">
        <v>128</v>
      </c>
      <c r="H54" s="11">
        <v>227.23</v>
      </c>
      <c r="I54" s="12">
        <v>501.71</v>
      </c>
      <c r="J54" s="13">
        <v>-54.71</v>
      </c>
    </row>
    <row r="55" spans="1:10">
      <c r="A55" s="1">
        <f t="shared" si="3"/>
        <v>9</v>
      </c>
      <c r="B55" s="10">
        <v>5717</v>
      </c>
      <c r="C55" s="10">
        <v>3519</v>
      </c>
      <c r="D55" s="10">
        <v>577</v>
      </c>
      <c r="E55" s="10">
        <v>1312</v>
      </c>
      <c r="F55" s="10">
        <v>309</v>
      </c>
      <c r="G55" s="10">
        <v>133</v>
      </c>
      <c r="H55" s="11">
        <v>213.45</v>
      </c>
      <c r="I55" s="12">
        <v>501.71</v>
      </c>
      <c r="J55" s="13">
        <v>-57.46</v>
      </c>
    </row>
    <row r="56" spans="1:10">
      <c r="A56" s="1">
        <f t="shared" si="3"/>
        <v>10</v>
      </c>
      <c r="B56" s="10">
        <v>4590</v>
      </c>
      <c r="C56" s="10">
        <v>2874</v>
      </c>
      <c r="D56" s="10">
        <v>498</v>
      </c>
      <c r="E56" s="10">
        <v>973</v>
      </c>
      <c r="F56" s="10">
        <v>245</v>
      </c>
      <c r="G56" s="10">
        <v>117</v>
      </c>
      <c r="H56" s="11">
        <v>171.37</v>
      </c>
      <c r="I56" s="12">
        <v>501.71</v>
      </c>
      <c r="J56" s="13">
        <v>-65.84</v>
      </c>
    </row>
    <row r="57" spans="1:10">
      <c r="A57" s="1">
        <f t="shared" si="3"/>
        <v>11</v>
      </c>
      <c r="B57" s="10">
        <v>4756</v>
      </c>
      <c r="C57" s="10">
        <v>2989</v>
      </c>
      <c r="D57" s="10">
        <v>407</v>
      </c>
      <c r="E57" s="10">
        <v>1066</v>
      </c>
      <c r="F57" s="10">
        <v>294</v>
      </c>
      <c r="G57" s="10">
        <v>113</v>
      </c>
      <c r="H57" s="11">
        <v>177.57</v>
      </c>
      <c r="I57" s="12">
        <v>501.71</v>
      </c>
      <c r="J57" s="13">
        <v>-64.61</v>
      </c>
    </row>
    <row r="58" spans="1:10">
      <c r="A58" s="1">
        <f t="shared" si="3"/>
        <v>12</v>
      </c>
      <c r="B58" s="10">
        <v>4459</v>
      </c>
      <c r="C58" s="10">
        <v>2912</v>
      </c>
      <c r="D58" s="10">
        <v>383</v>
      </c>
      <c r="E58" s="10">
        <v>946</v>
      </c>
      <c r="F58" s="10">
        <v>218</v>
      </c>
      <c r="G58" s="10">
        <v>98</v>
      </c>
      <c r="H58" s="11">
        <v>166.48</v>
      </c>
      <c r="I58" s="12">
        <v>501.71</v>
      </c>
      <c r="J58" s="13">
        <v>-66.819999999999993</v>
      </c>
    </row>
    <row r="59" spans="1:10">
      <c r="A59" s="1">
        <f t="shared" si="3"/>
        <v>13</v>
      </c>
      <c r="B59" s="10">
        <v>4116</v>
      </c>
      <c r="C59" s="10">
        <v>2530</v>
      </c>
      <c r="D59" s="10">
        <v>371</v>
      </c>
      <c r="E59" s="10">
        <v>996</v>
      </c>
      <c r="F59" s="10">
        <v>219</v>
      </c>
      <c r="G59" s="10">
        <v>118</v>
      </c>
      <c r="H59" s="11">
        <v>153.68</v>
      </c>
      <c r="I59" s="12">
        <v>501.71</v>
      </c>
      <c r="J59" s="13">
        <v>-69.37</v>
      </c>
    </row>
    <row r="60" spans="1:10">
      <c r="A60" s="1">
        <f t="shared" si="3"/>
        <v>14</v>
      </c>
      <c r="B60" s="10">
        <v>3819</v>
      </c>
      <c r="C60" s="10">
        <v>2248</v>
      </c>
      <c r="D60" s="10">
        <v>422</v>
      </c>
      <c r="E60" s="10">
        <v>946</v>
      </c>
      <c r="F60" s="10">
        <v>203</v>
      </c>
      <c r="G60" s="10">
        <v>115</v>
      </c>
      <c r="H60" s="11">
        <v>142.59</v>
      </c>
      <c r="I60" s="12">
        <v>501.71</v>
      </c>
      <c r="J60" s="13">
        <v>-71.58</v>
      </c>
    </row>
    <row r="61" spans="1:10">
      <c r="A61" s="1">
        <f t="shared" si="3"/>
        <v>15</v>
      </c>
      <c r="B61" s="10">
        <v>3730</v>
      </c>
      <c r="C61" s="10">
        <v>2203</v>
      </c>
      <c r="D61" s="10">
        <v>383</v>
      </c>
      <c r="E61" s="10">
        <v>926</v>
      </c>
      <c r="F61" s="10">
        <v>218</v>
      </c>
      <c r="G61" s="10">
        <v>106</v>
      </c>
      <c r="H61" s="11">
        <v>139.26</v>
      </c>
      <c r="I61" s="12">
        <v>501.71</v>
      </c>
      <c r="J61" s="13">
        <v>-72.239999999999995</v>
      </c>
    </row>
    <row r="62" spans="1:10">
      <c r="A62" s="1">
        <f t="shared" si="3"/>
        <v>16</v>
      </c>
      <c r="B62" s="10">
        <v>4173</v>
      </c>
      <c r="C62" s="10">
        <v>2590</v>
      </c>
      <c r="D62" s="10">
        <v>386</v>
      </c>
      <c r="E62" s="10">
        <v>908</v>
      </c>
      <c r="F62" s="10">
        <v>289</v>
      </c>
      <c r="G62" s="10">
        <v>95</v>
      </c>
      <c r="H62" s="11">
        <v>155.80000000000001</v>
      </c>
      <c r="I62" s="12">
        <v>501.71</v>
      </c>
      <c r="J62" s="13">
        <v>-68.95</v>
      </c>
    </row>
    <row r="63" spans="1:10">
      <c r="A63" s="1">
        <f t="shared" si="3"/>
        <v>17</v>
      </c>
      <c r="B63" s="10">
        <v>3730</v>
      </c>
      <c r="C63" s="10">
        <v>2317</v>
      </c>
      <c r="D63" s="10">
        <v>318</v>
      </c>
      <c r="E63" s="10">
        <v>839</v>
      </c>
      <c r="F63" s="10">
        <v>256</v>
      </c>
      <c r="G63" s="10">
        <v>90</v>
      </c>
      <c r="H63" s="11">
        <v>139.26</v>
      </c>
      <c r="I63" s="12">
        <v>501.71</v>
      </c>
      <c r="J63" s="13">
        <v>-72.239999999999995</v>
      </c>
    </row>
    <row r="64" spans="1:10">
      <c r="A64" s="1">
        <f t="shared" si="3"/>
        <v>18</v>
      </c>
      <c r="B64" s="10">
        <v>2127</v>
      </c>
      <c r="C64" s="10">
        <v>1369</v>
      </c>
      <c r="D64" s="10">
        <v>176</v>
      </c>
      <c r="E64" s="10">
        <v>429</v>
      </c>
      <c r="F64" s="10">
        <v>153</v>
      </c>
      <c r="G64" s="10">
        <v>75</v>
      </c>
      <c r="H64" s="11">
        <v>79.41</v>
      </c>
      <c r="I64" s="12">
        <v>501.71</v>
      </c>
      <c r="J64" s="13">
        <v>-84.17</v>
      </c>
    </row>
    <row r="65" spans="1:10">
      <c r="A65" s="1">
        <f t="shared" si="3"/>
        <v>19</v>
      </c>
      <c r="B65" s="10">
        <v>2885</v>
      </c>
      <c r="C65" s="10">
        <v>1787</v>
      </c>
      <c r="D65" s="10">
        <v>262</v>
      </c>
      <c r="E65" s="10">
        <v>643</v>
      </c>
      <c r="F65" s="10">
        <v>193</v>
      </c>
      <c r="G65" s="10">
        <v>61</v>
      </c>
      <c r="H65" s="11">
        <v>107.71</v>
      </c>
      <c r="I65" s="12">
        <v>501.71</v>
      </c>
      <c r="J65" s="13">
        <v>-78.53</v>
      </c>
    </row>
    <row r="66" spans="1:10">
      <c r="A66" s="1">
        <f t="shared" si="3"/>
        <v>20</v>
      </c>
      <c r="B66" s="10">
        <v>3015</v>
      </c>
      <c r="C66" s="10">
        <v>1794</v>
      </c>
      <c r="D66" s="10">
        <v>253</v>
      </c>
      <c r="E66" s="10">
        <v>751</v>
      </c>
      <c r="F66" s="10">
        <v>217</v>
      </c>
      <c r="G66" s="10">
        <v>82</v>
      </c>
      <c r="H66" s="11">
        <v>112.57</v>
      </c>
      <c r="I66" s="12">
        <v>501.71</v>
      </c>
      <c r="J66" s="13">
        <v>-77.56</v>
      </c>
    </row>
    <row r="67" spans="1:10">
      <c r="A67" s="18">
        <v>41</v>
      </c>
      <c r="B67" s="19">
        <v>4950</v>
      </c>
      <c r="C67" s="19">
        <v>3103</v>
      </c>
      <c r="D67" s="19">
        <v>475</v>
      </c>
      <c r="E67" s="19">
        <v>1081</v>
      </c>
      <c r="F67" s="19">
        <v>291</v>
      </c>
      <c r="G67" s="19">
        <v>132</v>
      </c>
      <c r="H67" s="20">
        <v>184.81</v>
      </c>
      <c r="I67" s="21">
        <v>422.26</v>
      </c>
      <c r="J67" s="22">
        <v>-56.23</v>
      </c>
    </row>
    <row r="68" spans="1:10">
      <c r="A68" s="18">
        <f>A67+1</f>
        <v>42</v>
      </c>
      <c r="B68" s="19">
        <v>4028</v>
      </c>
      <c r="C68" s="19">
        <v>2436</v>
      </c>
      <c r="D68" s="19">
        <v>418</v>
      </c>
      <c r="E68" s="19">
        <v>922</v>
      </c>
      <c r="F68" s="19">
        <v>252</v>
      </c>
      <c r="G68" s="19">
        <v>112</v>
      </c>
      <c r="H68" s="20">
        <v>150.38999999999999</v>
      </c>
      <c r="I68" s="21">
        <v>422.26</v>
      </c>
      <c r="J68" s="22">
        <v>-64.38</v>
      </c>
    </row>
    <row r="69" spans="1:10">
      <c r="A69" s="18">
        <f t="shared" ref="A69:A78" si="4">A68+1</f>
        <v>43</v>
      </c>
      <c r="B69" s="19">
        <v>4832</v>
      </c>
      <c r="C69" s="19">
        <v>2948</v>
      </c>
      <c r="D69" s="19">
        <v>487</v>
      </c>
      <c r="E69" s="19">
        <v>1056</v>
      </c>
      <c r="F69" s="19">
        <v>341</v>
      </c>
      <c r="G69" s="19">
        <v>142</v>
      </c>
      <c r="H69" s="20">
        <v>180.41</v>
      </c>
      <c r="I69" s="21">
        <v>422.26</v>
      </c>
      <c r="J69" s="22">
        <v>-57.28</v>
      </c>
    </row>
    <row r="70" spans="1:10">
      <c r="A70" s="18">
        <f t="shared" si="4"/>
        <v>44</v>
      </c>
      <c r="B70" s="19">
        <v>4113</v>
      </c>
      <c r="C70" s="19">
        <v>2443</v>
      </c>
      <c r="D70" s="19">
        <v>374</v>
      </c>
      <c r="E70" s="19">
        <v>1011</v>
      </c>
      <c r="F70" s="19">
        <v>285</v>
      </c>
      <c r="G70" s="19">
        <v>142</v>
      </c>
      <c r="H70" s="20">
        <v>154.63</v>
      </c>
      <c r="I70" s="21">
        <v>422.26</v>
      </c>
      <c r="J70" s="22">
        <v>-63.38</v>
      </c>
    </row>
    <row r="71" spans="1:10">
      <c r="A71" s="18">
        <f t="shared" si="4"/>
        <v>45</v>
      </c>
      <c r="B71" s="19">
        <v>4467</v>
      </c>
      <c r="C71" s="19">
        <v>2568</v>
      </c>
      <c r="D71" s="19">
        <v>447</v>
      </c>
      <c r="E71" s="19">
        <v>1121</v>
      </c>
      <c r="F71" s="19">
        <v>331</v>
      </c>
      <c r="G71" s="19">
        <v>130</v>
      </c>
      <c r="H71" s="20">
        <v>167.93</v>
      </c>
      <c r="I71" s="21">
        <v>422.26</v>
      </c>
      <c r="J71" s="22">
        <v>-60.23</v>
      </c>
    </row>
    <row r="72" spans="1:10">
      <c r="A72" s="18">
        <f t="shared" si="4"/>
        <v>46</v>
      </c>
      <c r="B72" s="19">
        <v>4312</v>
      </c>
      <c r="C72" s="19">
        <v>2537</v>
      </c>
      <c r="D72" s="19">
        <v>410</v>
      </c>
      <c r="E72" s="19">
        <v>1040</v>
      </c>
      <c r="F72" s="19">
        <v>325</v>
      </c>
      <c r="G72" s="19">
        <v>135</v>
      </c>
      <c r="H72" s="20">
        <v>162.11000000000001</v>
      </c>
      <c r="I72" s="21">
        <v>422.26</v>
      </c>
      <c r="J72" s="22">
        <v>-61.61</v>
      </c>
    </row>
    <row r="73" spans="1:10">
      <c r="A73" s="18">
        <f t="shared" si="4"/>
        <v>47</v>
      </c>
      <c r="B73" s="19">
        <v>4730</v>
      </c>
      <c r="C73" s="19">
        <v>2963</v>
      </c>
      <c r="D73" s="19">
        <v>424</v>
      </c>
      <c r="E73" s="19">
        <v>1045</v>
      </c>
      <c r="F73" s="19">
        <v>298</v>
      </c>
      <c r="G73" s="19">
        <v>146</v>
      </c>
      <c r="H73" s="20">
        <v>177.82</v>
      </c>
      <c r="I73" s="21">
        <v>422.26</v>
      </c>
      <c r="J73" s="22">
        <v>-57.89</v>
      </c>
    </row>
    <row r="74" spans="1:10">
      <c r="A74" s="18">
        <f t="shared" si="4"/>
        <v>48</v>
      </c>
      <c r="B74" s="19">
        <v>5169</v>
      </c>
      <c r="C74" s="19">
        <v>3435</v>
      </c>
      <c r="D74" s="19">
        <v>446</v>
      </c>
      <c r="E74" s="19">
        <v>998</v>
      </c>
      <c r="F74" s="19">
        <v>290</v>
      </c>
      <c r="G74" s="19">
        <v>150</v>
      </c>
      <c r="H74" s="20">
        <v>194.33</v>
      </c>
      <c r="I74" s="21">
        <v>422.26</v>
      </c>
      <c r="J74" s="22">
        <v>-53.98</v>
      </c>
    </row>
    <row r="75" spans="1:10">
      <c r="A75" s="18">
        <f t="shared" si="4"/>
        <v>49</v>
      </c>
      <c r="B75" s="19">
        <v>5204</v>
      </c>
      <c r="C75" s="19">
        <v>3426</v>
      </c>
      <c r="D75" s="19">
        <v>465</v>
      </c>
      <c r="E75" s="19">
        <v>1007</v>
      </c>
      <c r="F75" s="19">
        <v>306</v>
      </c>
      <c r="G75" s="19">
        <v>136</v>
      </c>
      <c r="H75" s="20">
        <v>195.64</v>
      </c>
      <c r="I75" s="21">
        <v>422.26</v>
      </c>
      <c r="J75" s="22">
        <v>-53.67</v>
      </c>
    </row>
    <row r="76" spans="1:10">
      <c r="A76" s="18">
        <f t="shared" si="4"/>
        <v>50</v>
      </c>
      <c r="B76" s="19">
        <v>4903</v>
      </c>
      <c r="C76" s="19">
        <v>3248</v>
      </c>
      <c r="D76" s="19">
        <v>368</v>
      </c>
      <c r="E76" s="19">
        <v>992</v>
      </c>
      <c r="F76" s="19">
        <v>295</v>
      </c>
      <c r="G76" s="19">
        <v>145</v>
      </c>
      <c r="H76" s="20">
        <v>184.33</v>
      </c>
      <c r="I76" s="21">
        <v>422.26</v>
      </c>
      <c r="J76" s="22">
        <v>-56.35</v>
      </c>
    </row>
    <row r="77" spans="1:10">
      <c r="A77" s="18">
        <f t="shared" si="4"/>
        <v>51</v>
      </c>
      <c r="B77" s="19">
        <v>4622</v>
      </c>
      <c r="C77" s="19">
        <v>2983</v>
      </c>
      <c r="D77" s="19">
        <v>390</v>
      </c>
      <c r="E77" s="19">
        <v>966</v>
      </c>
      <c r="F77" s="19">
        <v>283</v>
      </c>
      <c r="G77" s="19">
        <v>163</v>
      </c>
      <c r="H77" s="20">
        <v>173.76</v>
      </c>
      <c r="I77" s="21">
        <v>422.26</v>
      </c>
      <c r="J77" s="22">
        <v>-58.85</v>
      </c>
    </row>
    <row r="78" spans="1:10">
      <c r="A78" s="18">
        <f t="shared" si="4"/>
        <v>52</v>
      </c>
      <c r="B78" s="19">
        <v>3549</v>
      </c>
      <c r="C78" s="19">
        <v>2232</v>
      </c>
      <c r="D78" s="19">
        <v>313</v>
      </c>
      <c r="E78" s="19">
        <v>746</v>
      </c>
      <c r="F78" s="19">
        <v>258</v>
      </c>
      <c r="G78" s="19">
        <v>166</v>
      </c>
      <c r="H78" s="20">
        <v>133.41999999999999</v>
      </c>
      <c r="I78" s="21">
        <v>422.26</v>
      </c>
      <c r="J78" s="22">
        <v>-68.400000000000006</v>
      </c>
    </row>
    <row r="79" spans="1:10">
      <c r="A79" s="18">
        <v>1</v>
      </c>
      <c r="B79" s="19">
        <v>2477</v>
      </c>
      <c r="C79" s="19">
        <v>1475</v>
      </c>
      <c r="D79" s="19">
        <v>225</v>
      </c>
      <c r="E79" s="19">
        <v>609</v>
      </c>
      <c r="F79" s="19">
        <v>168</v>
      </c>
      <c r="G79" s="19">
        <v>126</v>
      </c>
      <c r="H79" s="20">
        <v>93.12</v>
      </c>
      <c r="I79" s="21">
        <v>422.26</v>
      </c>
      <c r="J79" s="22">
        <v>-77.95</v>
      </c>
    </row>
    <row r="80" spans="1:10">
      <c r="A80" s="18">
        <f>A79+1</f>
        <v>2</v>
      </c>
      <c r="B80" s="19">
        <v>2907</v>
      </c>
      <c r="C80" s="19">
        <v>1452</v>
      </c>
      <c r="D80" s="19">
        <v>360</v>
      </c>
      <c r="E80" s="19">
        <v>898</v>
      </c>
      <c r="F80" s="19">
        <v>197</v>
      </c>
      <c r="G80" s="19">
        <v>137</v>
      </c>
      <c r="H80" s="20">
        <v>109.29</v>
      </c>
      <c r="I80" s="21">
        <v>422.26</v>
      </c>
      <c r="J80" s="22">
        <v>-74.12</v>
      </c>
    </row>
    <row r="81" spans="1:10">
      <c r="A81" s="18">
        <f t="shared" ref="A81:A98" si="5">A80+1</f>
        <v>3</v>
      </c>
      <c r="B81" s="19">
        <v>3724</v>
      </c>
      <c r="C81" s="19">
        <v>1932</v>
      </c>
      <c r="D81" s="19">
        <v>438</v>
      </c>
      <c r="E81" s="19">
        <v>1107</v>
      </c>
      <c r="F81" s="19">
        <v>247</v>
      </c>
      <c r="G81" s="19">
        <v>137</v>
      </c>
      <c r="H81" s="20">
        <v>140</v>
      </c>
      <c r="I81" s="21">
        <v>422.26</v>
      </c>
      <c r="J81" s="22">
        <v>-66.84</v>
      </c>
    </row>
    <row r="82" spans="1:10">
      <c r="A82" s="18">
        <f t="shared" si="5"/>
        <v>4</v>
      </c>
      <c r="B82" s="19">
        <v>4789</v>
      </c>
      <c r="C82" s="19">
        <v>2815</v>
      </c>
      <c r="D82" s="19">
        <v>423</v>
      </c>
      <c r="E82" s="19">
        <v>1262</v>
      </c>
      <c r="F82" s="19">
        <v>289</v>
      </c>
      <c r="G82" s="19">
        <v>168</v>
      </c>
      <c r="H82" s="20">
        <v>180.04</v>
      </c>
      <c r="I82" s="21">
        <v>422.26</v>
      </c>
      <c r="J82" s="22">
        <v>-57.36</v>
      </c>
    </row>
    <row r="83" spans="1:10">
      <c r="A83" s="18">
        <f t="shared" si="5"/>
        <v>5</v>
      </c>
      <c r="B83" s="19">
        <v>6469</v>
      </c>
      <c r="C83" s="19">
        <v>4281</v>
      </c>
      <c r="D83" s="19">
        <v>521</v>
      </c>
      <c r="E83" s="19">
        <v>1338</v>
      </c>
      <c r="F83" s="19">
        <v>329</v>
      </c>
      <c r="G83" s="19">
        <v>231</v>
      </c>
      <c r="H83" s="20">
        <v>243.2</v>
      </c>
      <c r="I83" s="21">
        <v>422.26</v>
      </c>
      <c r="J83" s="22">
        <v>-42.41</v>
      </c>
    </row>
    <row r="84" spans="1:10">
      <c r="A84" s="18">
        <f t="shared" si="5"/>
        <v>6</v>
      </c>
      <c r="B84" s="19">
        <v>7880</v>
      </c>
      <c r="C84" s="19">
        <v>5470</v>
      </c>
      <c r="D84" s="19">
        <v>592</v>
      </c>
      <c r="E84" s="19">
        <v>1516</v>
      </c>
      <c r="F84" s="19">
        <v>302</v>
      </c>
      <c r="G84" s="19">
        <v>285</v>
      </c>
      <c r="H84" s="20">
        <v>296.24</v>
      </c>
      <c r="I84" s="21">
        <v>422.26</v>
      </c>
      <c r="J84" s="22">
        <v>-29.84</v>
      </c>
    </row>
    <row r="85" spans="1:10">
      <c r="A85" s="18">
        <f t="shared" si="5"/>
        <v>7</v>
      </c>
      <c r="B85" s="19">
        <v>7882</v>
      </c>
      <c r="C85" s="19">
        <v>5350</v>
      </c>
      <c r="D85" s="19">
        <v>632</v>
      </c>
      <c r="E85" s="19">
        <v>1590</v>
      </c>
      <c r="F85" s="19">
        <v>310</v>
      </c>
      <c r="G85" s="19">
        <v>298</v>
      </c>
      <c r="H85" s="20">
        <v>296.32</v>
      </c>
      <c r="I85" s="21">
        <v>422.26</v>
      </c>
      <c r="J85" s="22">
        <v>-29.83</v>
      </c>
    </row>
    <row r="86" spans="1:10">
      <c r="A86" s="18">
        <f t="shared" si="5"/>
        <v>8</v>
      </c>
      <c r="B86" s="19">
        <v>7480</v>
      </c>
      <c r="C86" s="19">
        <v>4715</v>
      </c>
      <c r="D86" s="19">
        <v>688</v>
      </c>
      <c r="E86" s="19">
        <v>1733</v>
      </c>
      <c r="F86" s="19">
        <v>344</v>
      </c>
      <c r="G86" s="19">
        <v>265</v>
      </c>
      <c r="H86" s="20">
        <v>281.20999999999998</v>
      </c>
      <c r="I86" s="21">
        <v>422.26</v>
      </c>
      <c r="J86" s="22">
        <v>-33.4</v>
      </c>
    </row>
    <row r="87" spans="1:10">
      <c r="A87" s="18">
        <f t="shared" si="5"/>
        <v>9</v>
      </c>
      <c r="B87" s="19">
        <v>7444</v>
      </c>
      <c r="C87" s="19">
        <v>4774</v>
      </c>
      <c r="D87" s="19">
        <v>668</v>
      </c>
      <c r="E87" s="19">
        <v>1666</v>
      </c>
      <c r="F87" s="19">
        <v>336</v>
      </c>
      <c r="G87" s="19">
        <v>299</v>
      </c>
      <c r="H87" s="20">
        <v>279.85000000000002</v>
      </c>
      <c r="I87" s="21">
        <v>422.26</v>
      </c>
      <c r="J87" s="22">
        <v>-33.72</v>
      </c>
    </row>
    <row r="88" spans="1:10">
      <c r="A88" s="18">
        <f t="shared" si="5"/>
        <v>10</v>
      </c>
      <c r="B88" s="19">
        <v>7030</v>
      </c>
      <c r="C88" s="19">
        <v>4331</v>
      </c>
      <c r="D88" s="19">
        <v>668</v>
      </c>
      <c r="E88" s="19">
        <v>1652</v>
      </c>
      <c r="F88" s="19">
        <v>379</v>
      </c>
      <c r="G88" s="19">
        <v>266</v>
      </c>
      <c r="H88" s="20">
        <v>264.29000000000002</v>
      </c>
      <c r="I88" s="21">
        <v>422.26</v>
      </c>
      <c r="J88" s="22">
        <v>-37.409999999999997</v>
      </c>
    </row>
    <row r="89" spans="1:10">
      <c r="A89" s="18">
        <f t="shared" si="5"/>
        <v>11</v>
      </c>
      <c r="B89" s="19">
        <v>6416</v>
      </c>
      <c r="C89" s="19">
        <v>4026</v>
      </c>
      <c r="D89" s="19">
        <v>539</v>
      </c>
      <c r="E89" s="19">
        <v>1529</v>
      </c>
      <c r="F89" s="19">
        <v>322</v>
      </c>
      <c r="G89" s="19">
        <v>225</v>
      </c>
      <c r="H89" s="20">
        <v>241.21</v>
      </c>
      <c r="I89" s="21">
        <v>422.26</v>
      </c>
      <c r="J89" s="22">
        <v>-42.88</v>
      </c>
    </row>
    <row r="90" spans="1:10">
      <c r="A90" s="18">
        <f t="shared" si="5"/>
        <v>12</v>
      </c>
      <c r="B90" s="19">
        <v>5531</v>
      </c>
      <c r="C90" s="19">
        <v>2525</v>
      </c>
      <c r="D90" s="19">
        <v>699</v>
      </c>
      <c r="E90" s="19">
        <v>1975</v>
      </c>
      <c r="F90" s="19">
        <v>332</v>
      </c>
      <c r="G90" s="19">
        <v>179</v>
      </c>
      <c r="H90" s="20">
        <v>207.94</v>
      </c>
      <c r="I90" s="21">
        <v>422.26</v>
      </c>
      <c r="J90" s="22">
        <v>-50.76</v>
      </c>
    </row>
    <row r="91" spans="1:10">
      <c r="A91" s="18">
        <f t="shared" si="5"/>
        <v>13</v>
      </c>
      <c r="B91" s="19">
        <v>3656</v>
      </c>
      <c r="C91" s="19">
        <v>1329</v>
      </c>
      <c r="D91" s="19">
        <v>544</v>
      </c>
      <c r="E91" s="19">
        <v>1554</v>
      </c>
      <c r="F91" s="19">
        <v>229</v>
      </c>
      <c r="G91" s="19">
        <v>134</v>
      </c>
      <c r="H91" s="20">
        <v>137.44999999999999</v>
      </c>
      <c r="I91" s="21">
        <v>422.26</v>
      </c>
      <c r="J91" s="22">
        <v>-67.45</v>
      </c>
    </row>
    <row r="92" spans="1:10">
      <c r="A92" s="18">
        <f t="shared" si="5"/>
        <v>14</v>
      </c>
      <c r="B92" s="19">
        <v>2410</v>
      </c>
      <c r="C92" s="19">
        <v>680</v>
      </c>
      <c r="D92" s="19">
        <v>426</v>
      </c>
      <c r="E92" s="19">
        <v>1128</v>
      </c>
      <c r="F92" s="19">
        <v>176</v>
      </c>
      <c r="G92" s="19">
        <v>88</v>
      </c>
      <c r="H92" s="20">
        <v>90.6</v>
      </c>
      <c r="I92" s="21">
        <v>422.26</v>
      </c>
      <c r="J92" s="22">
        <v>-78.540000000000006</v>
      </c>
    </row>
    <row r="93" spans="1:10">
      <c r="A93" s="18">
        <f t="shared" si="5"/>
        <v>15</v>
      </c>
      <c r="B93" s="19">
        <v>1862</v>
      </c>
      <c r="C93" s="19">
        <v>563</v>
      </c>
      <c r="D93" s="19">
        <v>384</v>
      </c>
      <c r="E93" s="19">
        <v>756</v>
      </c>
      <c r="F93" s="19">
        <v>159</v>
      </c>
      <c r="G93" s="19">
        <v>51</v>
      </c>
      <c r="H93" s="20">
        <v>70</v>
      </c>
      <c r="I93" s="21">
        <v>422.26</v>
      </c>
      <c r="J93" s="22">
        <v>-83.42</v>
      </c>
    </row>
    <row r="94" spans="1:10">
      <c r="A94" s="18">
        <f t="shared" si="5"/>
        <v>16</v>
      </c>
      <c r="B94" s="19">
        <v>1275</v>
      </c>
      <c r="C94" s="19">
        <v>414</v>
      </c>
      <c r="D94" s="19">
        <v>230</v>
      </c>
      <c r="E94" s="19">
        <v>548</v>
      </c>
      <c r="F94" s="19">
        <v>83</v>
      </c>
      <c r="G94" s="19">
        <v>45</v>
      </c>
      <c r="H94" s="20">
        <v>47.93</v>
      </c>
      <c r="I94" s="21">
        <v>422.26</v>
      </c>
      <c r="J94" s="22">
        <v>-88.65</v>
      </c>
    </row>
    <row r="95" spans="1:10">
      <c r="A95" s="18">
        <f t="shared" si="5"/>
        <v>17</v>
      </c>
      <c r="B95" s="19">
        <v>946</v>
      </c>
      <c r="C95" s="19">
        <v>293</v>
      </c>
      <c r="D95" s="19">
        <v>138</v>
      </c>
      <c r="E95" s="19">
        <v>449</v>
      </c>
      <c r="F95" s="19">
        <v>66</v>
      </c>
      <c r="G95" s="19">
        <v>24</v>
      </c>
      <c r="H95" s="20">
        <v>35.56</v>
      </c>
      <c r="I95" s="21">
        <v>422.26</v>
      </c>
      <c r="J95" s="22">
        <v>-91.58</v>
      </c>
    </row>
    <row r="96" spans="1:10">
      <c r="A96" s="18">
        <f t="shared" si="5"/>
        <v>18</v>
      </c>
      <c r="B96" s="19">
        <v>804</v>
      </c>
      <c r="C96" s="19">
        <v>227</v>
      </c>
      <c r="D96" s="19">
        <v>142</v>
      </c>
      <c r="E96" s="19">
        <v>365</v>
      </c>
      <c r="F96" s="19">
        <v>70</v>
      </c>
      <c r="G96" s="19">
        <v>20</v>
      </c>
      <c r="H96" s="20">
        <v>30.23</v>
      </c>
      <c r="I96" s="21">
        <v>422.26</v>
      </c>
      <c r="J96" s="22">
        <v>-92.84</v>
      </c>
    </row>
    <row r="97" spans="1:10">
      <c r="A97" s="18">
        <f t="shared" si="5"/>
        <v>19</v>
      </c>
      <c r="B97" s="19">
        <v>748</v>
      </c>
      <c r="C97" s="19">
        <v>220</v>
      </c>
      <c r="D97" s="19">
        <v>114</v>
      </c>
      <c r="E97" s="19">
        <v>342</v>
      </c>
      <c r="F97" s="19">
        <v>72</v>
      </c>
      <c r="G97" s="19">
        <v>34</v>
      </c>
      <c r="H97" s="20">
        <v>28.12</v>
      </c>
      <c r="I97" s="21">
        <v>422.26</v>
      </c>
      <c r="J97" s="22">
        <v>-93.34</v>
      </c>
    </row>
    <row r="98" spans="1:10">
      <c r="A98" s="18">
        <f t="shared" si="5"/>
        <v>20</v>
      </c>
      <c r="B98" s="19">
        <v>615</v>
      </c>
      <c r="C98" s="19">
        <v>179</v>
      </c>
      <c r="D98" s="19">
        <v>90</v>
      </c>
      <c r="E98" s="19">
        <v>296</v>
      </c>
      <c r="F98" s="19">
        <v>50</v>
      </c>
      <c r="G98" s="19">
        <v>29</v>
      </c>
      <c r="H98" s="20">
        <v>23.12</v>
      </c>
      <c r="I98" s="21">
        <v>422.26</v>
      </c>
      <c r="J98" s="22">
        <v>-94.52</v>
      </c>
    </row>
  </sheetData>
  <mergeCells count="10"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F1:F2"/>
  </mergeCells>
  <conditionalFormatting sqref="H13">
    <cfRule type="cellIs" dxfId="0" priority="1" stopIfTrue="1" operator="greaterThan">
      <formula>$H13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2021-05-05T08:50:18Z</dcterms:modified>
</cp:coreProperties>
</file>