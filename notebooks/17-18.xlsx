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4"/>
  <workbookPr/>
  <mc:AlternateContent xmlns:mc="http://schemas.openxmlformats.org/markup-compatibility/2006">
    <mc:Choice Requires="x15">
      <x15ac:absPath xmlns:x15ac="http://schemas.microsoft.com/office/spreadsheetml/2010/11/ac" url="/Users/arima/Desktop/shit/"/>
    </mc:Choice>
  </mc:AlternateContent>
  <xr:revisionPtr revIDLastSave="0" documentId="13_ncr:1_{CFC1E8FA-413E-6B42-9696-117B77BB7C4A}" xr6:coauthVersionLast="46" xr6:coauthVersionMax="46" xr10:uidLastSave="{00000000-0000-0000-0000-000000000000}"/>
  <bookViews>
    <workbookView xWindow="1260" yWindow="500" windowWidth="27540" windowHeight="16740" xr2:uid="{00000000-000D-0000-FFFF-FFFF00000000}"/>
  </bookViews>
  <sheets>
    <sheet name="Лист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6" i="1" l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D13" i="1"/>
  <c r="E13" i="1"/>
  <c r="F13" i="1"/>
</calcChain>
</file>

<file path=xl/sharedStrings.xml><?xml version="1.0" encoding="utf-8"?>
<sst xmlns="http://schemas.openxmlformats.org/spreadsheetml/2006/main" count="10" uniqueCount="10">
  <si>
    <t>Всього захворіло</t>
  </si>
  <si>
    <t>у т.ч.діти до 17 років</t>
  </si>
  <si>
    <t>18 - 29</t>
  </si>
  <si>
    <t>30 - 64</t>
  </si>
  <si>
    <t>65 та старші</t>
  </si>
  <si>
    <t>Госпіталізація</t>
  </si>
  <si>
    <t>Показник захворюваності</t>
  </si>
  <si>
    <t>Епідпоріг</t>
  </si>
  <si>
    <t>Перевищення епідпорогу (%)</t>
  </si>
  <si>
    <t>Неділя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</si>
</sst>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_(* #,##0_);_(* \(#,##0\);_(* &quot;-&quot;??_);_(@_)"/>
  </numFmts>
  <fonts count="5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0"/>
      <name val="Arial Cyr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/>
  </cellStyleXfs>
  <cellXfs count="12">
    <xf numFmtId="0" fontId="0" fillId="0" borderId="0" xfId="0"/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right" wrapText="1"/>
    </xf>
    <xf numFmtId="1" fontId="4" fillId="0" borderId="0" xfId="2" applyNumberFormat="1" applyFont="1" applyFill="1" applyBorder="1" applyAlignment="1" applyProtection="1">
      <alignment horizontal="center" vertical="center" wrapText="1"/>
    </xf>
    <xf numFmtId="165" fontId="4" fillId="0" borderId="0" xfId="1" applyNumberFormat="1" applyFont="1" applyBorder="1" applyAlignment="1">
      <alignment horizontal="center" vertical="center" wrapText="1"/>
    </xf>
    <xf numFmtId="2" fontId="4" fillId="0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" fillId="0" borderId="0" xfId="0" applyNumberFormat="1" applyFont="1" applyBorder="1" applyAlignment="1">
      <alignment horizontal="center"/>
    </xf>
    <xf numFmtId="2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Обычный_У розрізі районів" xfId="2" xr:uid="{00000000-0005-0000-0000-000001000000}"/>
  </cellStyles>
  <dxfs count="1">
    <dxf>
      <fill>
        <patternFill patternType="none"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&#1076;&#1086;&#1076;&#1072;&#1090;&#1086;&#1082;%201%20&#1079;&#1072;&#1093;&#1074;&#1086;&#1088;&#1110;&#1083;&#111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сего"/>
      <sheetName val="Харків"/>
      <sheetName val="Балаклійський"/>
      <sheetName val="Барвенківській"/>
      <sheetName val="Близнюківський"/>
      <sheetName val="Богодухівський"/>
      <sheetName val="Борівський"/>
      <sheetName val="Валківс"/>
      <sheetName val="Великобурлуцький"/>
      <sheetName val="Вовчанський"/>
      <sheetName val="Дворічанський"/>
      <sheetName val="Дергачівський"/>
      <sheetName val="Зачепілівський"/>
      <sheetName val="Зміївський"/>
      <sheetName val="Золочівський"/>
      <sheetName val="Ізюмський"/>
      <sheetName val="Ізюм"/>
      <sheetName val="Кегічівський"/>
      <sheetName val="Коломацький"/>
      <sheetName val="Красноградський"/>
      <sheetName val="Краснокутський"/>
      <sheetName val="Купянський"/>
      <sheetName val="Купянськ"/>
      <sheetName val="Лозівський"/>
      <sheetName val="Лозова"/>
      <sheetName val="Нововодолазький"/>
      <sheetName val="Первомайський"/>
      <sheetName val="Первомайськ"/>
      <sheetName val="Печенізький"/>
      <sheetName val="Сахновщинський"/>
      <sheetName val="Харківський"/>
      <sheetName val="Чугуївський"/>
      <sheetName val="Чугуїв"/>
      <sheetName val="Шевченківський"/>
      <sheetName val="Люботин"/>
      <sheetName val="область"/>
    </sheetNames>
    <sheetDataSet>
      <sheetData sheetId="0" refreshError="1">
        <row r="14">
          <cell r="D14">
            <v>2303</v>
          </cell>
          <cell r="G14">
            <v>560</v>
          </cell>
          <cell r="H14">
            <v>1162</v>
          </cell>
          <cell r="I14">
            <v>289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workbookViewId="0">
      <selection activeCell="A35" sqref="A35"/>
    </sheetView>
  </sheetViews>
  <sheetFormatPr baseColWidth="10" defaultColWidth="8.83203125" defaultRowHeight="15"/>
  <sheetData>
    <row r="1" spans="1:10" ht="19.5" customHeight="1">
      <c r="A1" s="10" t="s">
        <v>9</v>
      </c>
      <c r="B1" s="10" t="s">
        <v>0</v>
      </c>
      <c r="C1" s="11" t="s">
        <v>1</v>
      </c>
      <c r="D1" s="10" t="s">
        <v>2</v>
      </c>
      <c r="E1" s="10" t="s">
        <v>3</v>
      </c>
      <c r="F1" s="10" t="s">
        <v>4</v>
      </c>
      <c r="G1" s="11" t="s">
        <v>5</v>
      </c>
      <c r="H1" s="11" t="s">
        <v>6</v>
      </c>
      <c r="I1" s="10" t="s">
        <v>7</v>
      </c>
      <c r="J1" s="11" t="s">
        <v>8</v>
      </c>
    </row>
    <row r="2" spans="1:10">
      <c r="A2" s="10"/>
      <c r="B2" s="10"/>
      <c r="C2" s="11"/>
      <c r="D2" s="10"/>
      <c r="E2" s="10"/>
      <c r="F2" s="10"/>
      <c r="G2" s="11"/>
      <c r="H2" s="11"/>
      <c r="I2" s="10"/>
      <c r="J2" s="11"/>
    </row>
    <row r="3" spans="1:10">
      <c r="A3" s="1">
        <v>41</v>
      </c>
      <c r="B3" s="2">
        <v>7891</v>
      </c>
      <c r="C3" s="2">
        <v>5836</v>
      </c>
      <c r="D3" s="2">
        <v>639</v>
      </c>
      <c r="E3" s="2">
        <v>1147</v>
      </c>
      <c r="F3" s="2">
        <v>269</v>
      </c>
      <c r="G3" s="2">
        <v>142</v>
      </c>
      <c r="H3" s="2">
        <v>291.94</v>
      </c>
      <c r="I3" s="3">
        <v>527.44000000000005</v>
      </c>
      <c r="J3" s="4">
        <v>-44.65</v>
      </c>
    </row>
    <row r="4" spans="1:10">
      <c r="A4" s="1">
        <f>A3+1</f>
        <v>42</v>
      </c>
      <c r="B4" s="2">
        <v>6736</v>
      </c>
      <c r="C4" s="2">
        <v>4928</v>
      </c>
      <c r="D4" s="2">
        <v>517</v>
      </c>
      <c r="E4" s="2">
        <v>1029</v>
      </c>
      <c r="F4" s="2">
        <v>262</v>
      </c>
      <c r="G4" s="2">
        <v>160</v>
      </c>
      <c r="H4" s="2">
        <v>249.21</v>
      </c>
      <c r="I4" s="3">
        <v>541.73</v>
      </c>
      <c r="J4" s="4">
        <v>-54</v>
      </c>
    </row>
    <row r="5" spans="1:10">
      <c r="A5" s="1">
        <f t="shared" ref="A5:A14" si="0">A4+1</f>
        <v>43</v>
      </c>
      <c r="B5" s="2">
        <v>6835</v>
      </c>
      <c r="C5" s="2">
        <v>4392</v>
      </c>
      <c r="D5" s="2">
        <v>796</v>
      </c>
      <c r="E5" s="2">
        <v>1307</v>
      </c>
      <c r="F5" s="2">
        <v>340</v>
      </c>
      <c r="G5" s="2">
        <v>147</v>
      </c>
      <c r="H5" s="2">
        <v>252.87</v>
      </c>
      <c r="I5" s="3">
        <v>634.04999999999995</v>
      </c>
      <c r="J5" s="4">
        <v>-60.12</v>
      </c>
    </row>
    <row r="6" spans="1:10">
      <c r="A6" s="1">
        <f t="shared" si="0"/>
        <v>44</v>
      </c>
      <c r="B6" s="2">
        <v>7595</v>
      </c>
      <c r="C6" s="2">
        <v>4965</v>
      </c>
      <c r="D6" s="2">
        <v>870</v>
      </c>
      <c r="E6" s="2">
        <v>1377</v>
      </c>
      <c r="F6" s="2">
        <v>383</v>
      </c>
      <c r="G6" s="2">
        <v>160</v>
      </c>
      <c r="H6" s="2">
        <v>280.99</v>
      </c>
      <c r="I6" s="3">
        <v>568.91999999999996</v>
      </c>
      <c r="J6" s="4">
        <v>-50.61</v>
      </c>
    </row>
    <row r="7" spans="1:10">
      <c r="A7" s="1">
        <f t="shared" si="0"/>
        <v>45</v>
      </c>
      <c r="B7" s="2">
        <v>8209</v>
      </c>
      <c r="C7" s="2">
        <v>5511</v>
      </c>
      <c r="D7" s="2">
        <v>894</v>
      </c>
      <c r="E7" s="2">
        <v>1448</v>
      </c>
      <c r="F7" s="2">
        <v>356</v>
      </c>
      <c r="G7" s="2">
        <v>168</v>
      </c>
      <c r="H7" s="2">
        <v>303.7</v>
      </c>
      <c r="I7" s="3">
        <v>572.41999999999996</v>
      </c>
      <c r="J7" s="4">
        <v>-46.94</v>
      </c>
    </row>
    <row r="8" spans="1:10">
      <c r="A8" s="1">
        <f t="shared" si="0"/>
        <v>46</v>
      </c>
      <c r="B8" s="2">
        <v>8408</v>
      </c>
      <c r="C8" s="2">
        <v>5900</v>
      </c>
      <c r="D8" s="2">
        <v>786</v>
      </c>
      <c r="E8" s="2">
        <v>1356</v>
      </c>
      <c r="F8" s="2">
        <v>366</v>
      </c>
      <c r="G8" s="2">
        <v>182</v>
      </c>
      <c r="H8" s="2">
        <v>311.06</v>
      </c>
      <c r="I8" s="3">
        <v>506.75</v>
      </c>
      <c r="J8" s="4">
        <v>-38.619999999999997</v>
      </c>
    </row>
    <row r="9" spans="1:10">
      <c r="A9" s="1">
        <f t="shared" si="0"/>
        <v>47</v>
      </c>
      <c r="B9" s="2">
        <v>9037</v>
      </c>
      <c r="C9" s="2">
        <v>6532</v>
      </c>
      <c r="D9" s="2">
        <v>766</v>
      </c>
      <c r="E9" s="2">
        <v>1365</v>
      </c>
      <c r="F9" s="2">
        <v>374</v>
      </c>
      <c r="G9" s="2">
        <v>192</v>
      </c>
      <c r="H9" s="2">
        <v>334.33</v>
      </c>
      <c r="I9" s="3">
        <v>554.96</v>
      </c>
      <c r="J9" s="4">
        <v>-39.76</v>
      </c>
    </row>
    <row r="10" spans="1:10">
      <c r="A10" s="1">
        <f t="shared" si="0"/>
        <v>48</v>
      </c>
      <c r="B10" s="2">
        <v>8933</v>
      </c>
      <c r="C10" s="2">
        <v>6558</v>
      </c>
      <c r="D10" s="2">
        <v>705</v>
      </c>
      <c r="E10" s="2">
        <v>1342</v>
      </c>
      <c r="F10" s="2">
        <v>328</v>
      </c>
      <c r="G10" s="2">
        <v>177</v>
      </c>
      <c r="H10" s="2">
        <v>330.49</v>
      </c>
      <c r="I10" s="3">
        <v>606.58000000000004</v>
      </c>
      <c r="J10" s="4">
        <v>-45.52</v>
      </c>
    </row>
    <row r="11" spans="1:10">
      <c r="A11" s="1">
        <f t="shared" si="0"/>
        <v>49</v>
      </c>
      <c r="B11" s="2">
        <v>8791</v>
      </c>
      <c r="C11" s="2">
        <v>6437</v>
      </c>
      <c r="D11" s="2">
        <v>647</v>
      </c>
      <c r="E11" s="2">
        <v>1372</v>
      </c>
      <c r="F11" s="2">
        <v>334</v>
      </c>
      <c r="G11" s="2">
        <v>177</v>
      </c>
      <c r="H11" s="2">
        <v>325.23</v>
      </c>
      <c r="I11" s="3">
        <v>656.25</v>
      </c>
      <c r="J11" s="4">
        <v>-50.44</v>
      </c>
    </row>
    <row r="12" spans="1:10">
      <c r="A12" s="1">
        <f t="shared" si="0"/>
        <v>50</v>
      </c>
      <c r="B12" s="2">
        <v>8508</v>
      </c>
      <c r="C12" s="2">
        <v>6284</v>
      </c>
      <c r="D12" s="2">
        <v>608</v>
      </c>
      <c r="E12" s="2">
        <v>1291</v>
      </c>
      <c r="F12" s="2">
        <v>325</v>
      </c>
      <c r="G12" s="2">
        <v>168</v>
      </c>
      <c r="H12" s="2">
        <v>314.76</v>
      </c>
      <c r="I12" s="3">
        <v>635.91</v>
      </c>
      <c r="J12" s="4">
        <v>-50.5</v>
      </c>
    </row>
    <row r="13" spans="1:10">
      <c r="A13" s="1">
        <f t="shared" si="0"/>
        <v>51</v>
      </c>
      <c r="B13" s="5">
        <v>7839</v>
      </c>
      <c r="C13" s="5">
        <v>5828</v>
      </c>
      <c r="D13" s="5">
        <f>[1]Всего!$G$14</f>
        <v>560</v>
      </c>
      <c r="E13" s="5">
        <f>[1]Всего!$H$14</f>
        <v>1162</v>
      </c>
      <c r="F13" s="5">
        <f>[1]Всего!$I$14</f>
        <v>289</v>
      </c>
      <c r="G13" s="6">
        <v>191</v>
      </c>
      <c r="H13" s="7">
        <v>290.01</v>
      </c>
      <c r="I13" s="8">
        <v>619.66</v>
      </c>
      <c r="J13" s="9">
        <v>-53.2</v>
      </c>
    </row>
    <row r="14" spans="1:10">
      <c r="A14" s="1">
        <f t="shared" si="0"/>
        <v>52</v>
      </c>
      <c r="B14" s="2">
        <v>6404</v>
      </c>
      <c r="C14" s="2">
        <v>4699</v>
      </c>
      <c r="D14" s="2">
        <v>546</v>
      </c>
      <c r="E14" s="2">
        <v>927</v>
      </c>
      <c r="F14" s="2">
        <v>232</v>
      </c>
      <c r="G14" s="2">
        <v>144</v>
      </c>
      <c r="H14" s="2">
        <v>236.92</v>
      </c>
      <c r="I14" s="3">
        <v>572.44000000000005</v>
      </c>
      <c r="J14" s="4">
        <v>-58.61</v>
      </c>
    </row>
    <row r="15" spans="1:10">
      <c r="A15" s="1">
        <v>1</v>
      </c>
      <c r="B15" s="2">
        <v>5826</v>
      </c>
      <c r="C15" s="2">
        <v>4004</v>
      </c>
      <c r="D15" s="2">
        <v>482</v>
      </c>
      <c r="E15" s="2">
        <v>1042</v>
      </c>
      <c r="F15" s="2">
        <v>298</v>
      </c>
      <c r="G15" s="2">
        <v>136</v>
      </c>
      <c r="H15" s="2">
        <v>216.94</v>
      </c>
      <c r="I15" s="3">
        <v>670.5</v>
      </c>
      <c r="J15" s="4">
        <v>-67.650000000000006</v>
      </c>
    </row>
    <row r="16" spans="1:10">
      <c r="A16" s="1">
        <f>A15+1</f>
        <v>2</v>
      </c>
      <c r="B16" s="2">
        <v>5993</v>
      </c>
      <c r="C16" s="2">
        <v>3647</v>
      </c>
      <c r="D16" s="2">
        <v>587</v>
      </c>
      <c r="E16" s="2">
        <v>1322</v>
      </c>
      <c r="F16" s="2">
        <v>437</v>
      </c>
      <c r="G16" s="2">
        <v>179</v>
      </c>
      <c r="H16" s="2">
        <v>223.16</v>
      </c>
      <c r="I16" s="3">
        <v>822.13</v>
      </c>
      <c r="J16" s="4">
        <v>-72.86</v>
      </c>
    </row>
    <row r="17" spans="1:10">
      <c r="A17" s="1">
        <f t="shared" ref="A17:A34" si="1">A16+1</f>
        <v>3</v>
      </c>
      <c r="B17" s="2">
        <v>7666</v>
      </c>
      <c r="C17" s="2">
        <v>4984</v>
      </c>
      <c r="D17" s="2">
        <v>720</v>
      </c>
      <c r="E17" s="2">
        <v>1569</v>
      </c>
      <c r="F17" s="2">
        <v>393</v>
      </c>
      <c r="G17" s="2">
        <v>175</v>
      </c>
      <c r="H17" s="2">
        <v>285.45</v>
      </c>
      <c r="I17" s="3">
        <v>655.88</v>
      </c>
      <c r="J17" s="4">
        <v>-56.48</v>
      </c>
    </row>
    <row r="18" spans="1:10">
      <c r="A18" s="1">
        <f t="shared" si="1"/>
        <v>4</v>
      </c>
      <c r="B18" s="2">
        <v>8734</v>
      </c>
      <c r="C18" s="2">
        <v>6085</v>
      </c>
      <c r="D18" s="2">
        <v>708</v>
      </c>
      <c r="E18" s="2">
        <v>1511</v>
      </c>
      <c r="F18" s="2">
        <v>430</v>
      </c>
      <c r="G18" s="2">
        <v>211</v>
      </c>
      <c r="H18" s="2">
        <v>325.22000000000003</v>
      </c>
      <c r="I18" s="3">
        <v>598.08000000000004</v>
      </c>
      <c r="J18" s="4">
        <v>-45.62</v>
      </c>
    </row>
    <row r="19" spans="1:10">
      <c r="A19" s="1">
        <f t="shared" si="1"/>
        <v>5</v>
      </c>
      <c r="B19" s="2">
        <v>10813</v>
      </c>
      <c r="C19" s="2">
        <v>7683</v>
      </c>
      <c r="D19" s="2">
        <v>840</v>
      </c>
      <c r="E19" s="2">
        <v>1794</v>
      </c>
      <c r="F19" s="2">
        <v>496</v>
      </c>
      <c r="G19" s="2">
        <v>229</v>
      </c>
      <c r="H19" s="2">
        <v>402.64</v>
      </c>
      <c r="I19" s="3">
        <v>795.01</v>
      </c>
      <c r="J19" s="4">
        <v>-49.35</v>
      </c>
    </row>
    <row r="20" spans="1:10">
      <c r="A20" s="1">
        <f t="shared" si="1"/>
        <v>6</v>
      </c>
      <c r="B20" s="2">
        <v>11914</v>
      </c>
      <c r="C20" s="2">
        <v>8706</v>
      </c>
      <c r="D20" s="2">
        <v>822</v>
      </c>
      <c r="E20" s="2">
        <v>1915</v>
      </c>
      <c r="F20" s="2">
        <v>471</v>
      </c>
      <c r="G20" s="2">
        <v>255</v>
      </c>
      <c r="H20" s="2">
        <v>443.63</v>
      </c>
      <c r="I20" s="3">
        <v>836.49</v>
      </c>
      <c r="J20" s="4">
        <v>-46.96</v>
      </c>
    </row>
    <row r="21" spans="1:10">
      <c r="A21" s="1">
        <f t="shared" si="1"/>
        <v>7</v>
      </c>
      <c r="B21" s="2">
        <v>13468</v>
      </c>
      <c r="C21" s="2">
        <v>9800</v>
      </c>
      <c r="D21" s="2">
        <v>1054</v>
      </c>
      <c r="E21" s="2">
        <v>2110</v>
      </c>
      <c r="F21" s="2">
        <v>504</v>
      </c>
      <c r="G21" s="2">
        <v>232</v>
      </c>
      <c r="H21" s="2">
        <v>501.5</v>
      </c>
      <c r="I21" s="3">
        <v>954.18</v>
      </c>
      <c r="J21" s="4">
        <v>-47.44</v>
      </c>
    </row>
    <row r="22" spans="1:10">
      <c r="A22" s="1">
        <f t="shared" si="1"/>
        <v>8</v>
      </c>
      <c r="B22" s="2">
        <v>14233</v>
      </c>
      <c r="C22" s="2">
        <v>10482</v>
      </c>
      <c r="D22" s="2">
        <v>985</v>
      </c>
      <c r="E22" s="2">
        <v>2191</v>
      </c>
      <c r="F22" s="2">
        <v>575</v>
      </c>
      <c r="G22" s="2">
        <v>278</v>
      </c>
      <c r="H22" s="2">
        <v>529.98</v>
      </c>
      <c r="I22" s="3">
        <v>933.02</v>
      </c>
      <c r="J22" s="4">
        <v>-43.2</v>
      </c>
    </row>
    <row r="23" spans="1:10">
      <c r="A23" s="1">
        <f t="shared" si="1"/>
        <v>9</v>
      </c>
      <c r="B23" s="2">
        <v>13761</v>
      </c>
      <c r="C23" s="2">
        <v>9545</v>
      </c>
      <c r="D23" s="2">
        <v>1189</v>
      </c>
      <c r="E23" s="2">
        <v>2466</v>
      </c>
      <c r="F23" s="2">
        <v>561</v>
      </c>
      <c r="G23" s="2">
        <v>231</v>
      </c>
      <c r="H23" s="2">
        <v>512.41</v>
      </c>
      <c r="I23" s="3">
        <v>854.78</v>
      </c>
      <c r="J23" s="4">
        <v>-40.049999999999997</v>
      </c>
    </row>
    <row r="24" spans="1:10">
      <c r="A24" s="1">
        <f t="shared" si="1"/>
        <v>10</v>
      </c>
      <c r="B24" s="2">
        <v>8265</v>
      </c>
      <c r="C24" s="2">
        <v>5011</v>
      </c>
      <c r="D24" s="2">
        <v>874</v>
      </c>
      <c r="E24" s="2">
        <v>1898</v>
      </c>
      <c r="F24" s="2">
        <v>482</v>
      </c>
      <c r="G24" s="2">
        <v>219</v>
      </c>
      <c r="H24" s="2">
        <v>307.76</v>
      </c>
      <c r="I24" s="3">
        <v>807.04</v>
      </c>
      <c r="J24" s="4">
        <v>-61.87</v>
      </c>
    </row>
    <row r="25" spans="1:10">
      <c r="A25" s="1">
        <f t="shared" si="1"/>
        <v>11</v>
      </c>
      <c r="B25" s="2">
        <v>9045</v>
      </c>
      <c r="C25" s="2">
        <v>5331</v>
      </c>
      <c r="D25" s="2">
        <v>943</v>
      </c>
      <c r="E25" s="2">
        <v>2197</v>
      </c>
      <c r="F25" s="2">
        <v>574</v>
      </c>
      <c r="G25" s="2">
        <v>229</v>
      </c>
      <c r="H25" s="2">
        <v>336.8</v>
      </c>
      <c r="I25" s="3">
        <v>671.92</v>
      </c>
      <c r="J25" s="4">
        <v>-49.87</v>
      </c>
    </row>
    <row r="26" spans="1:10">
      <c r="A26" s="1">
        <f t="shared" si="1"/>
        <v>12</v>
      </c>
      <c r="B26" s="2">
        <v>8740</v>
      </c>
      <c r="C26" s="2">
        <v>5362</v>
      </c>
      <c r="D26" s="2">
        <v>904</v>
      </c>
      <c r="E26" s="2">
        <v>1999</v>
      </c>
      <c r="F26" s="2">
        <v>475</v>
      </c>
      <c r="G26" s="2">
        <v>200</v>
      </c>
      <c r="H26" s="2">
        <v>325.45</v>
      </c>
      <c r="I26" s="3">
        <v>661.38</v>
      </c>
      <c r="J26" s="4">
        <v>-50.79</v>
      </c>
    </row>
    <row r="27" spans="1:10">
      <c r="A27" s="1">
        <f t="shared" si="1"/>
        <v>13</v>
      </c>
      <c r="B27" s="2">
        <v>7454</v>
      </c>
      <c r="C27" s="2">
        <v>4413</v>
      </c>
      <c r="D27" s="2">
        <v>775</v>
      </c>
      <c r="E27" s="2">
        <v>1752</v>
      </c>
      <c r="F27" s="2">
        <v>514</v>
      </c>
      <c r="G27" s="2">
        <v>168</v>
      </c>
      <c r="H27" s="2">
        <v>277.56</v>
      </c>
      <c r="I27" s="3">
        <v>591.14</v>
      </c>
      <c r="J27" s="4">
        <v>-53.05</v>
      </c>
    </row>
    <row r="28" spans="1:10">
      <c r="A28" s="1">
        <f t="shared" si="1"/>
        <v>14</v>
      </c>
      <c r="B28" s="2">
        <v>6214</v>
      </c>
      <c r="C28" s="2">
        <v>3729</v>
      </c>
      <c r="D28" s="2">
        <v>632</v>
      </c>
      <c r="E28" s="2">
        <v>1469</v>
      </c>
      <c r="F28" s="2">
        <v>384</v>
      </c>
      <c r="G28" s="2">
        <v>160</v>
      </c>
      <c r="H28" s="2">
        <v>231.39</v>
      </c>
      <c r="I28" s="3">
        <v>488.08</v>
      </c>
      <c r="J28" s="4">
        <v>-52.59</v>
      </c>
    </row>
    <row r="29" spans="1:10">
      <c r="A29" s="1">
        <f t="shared" si="1"/>
        <v>15</v>
      </c>
      <c r="B29" s="2">
        <v>5343</v>
      </c>
      <c r="C29" s="2">
        <v>3363</v>
      </c>
      <c r="D29" s="2">
        <v>500</v>
      </c>
      <c r="E29" s="2">
        <v>1149</v>
      </c>
      <c r="F29" s="2">
        <v>331</v>
      </c>
      <c r="G29" s="2">
        <v>145</v>
      </c>
      <c r="H29" s="2">
        <v>198.95</v>
      </c>
      <c r="I29" s="3">
        <v>518.27</v>
      </c>
      <c r="J29" s="4">
        <v>-61.61</v>
      </c>
    </row>
    <row r="30" spans="1:10">
      <c r="A30" s="1">
        <f t="shared" si="1"/>
        <v>16</v>
      </c>
      <c r="B30" s="2">
        <v>5864</v>
      </c>
      <c r="C30" s="2">
        <v>3775</v>
      </c>
      <c r="D30" s="2">
        <v>524</v>
      </c>
      <c r="E30" s="2">
        <v>1224</v>
      </c>
      <c r="F30" s="2">
        <v>341</v>
      </c>
      <c r="G30" s="2">
        <v>138</v>
      </c>
      <c r="H30" s="2">
        <v>218.35</v>
      </c>
      <c r="I30" s="3">
        <v>486.36</v>
      </c>
      <c r="J30" s="4">
        <v>-55.1</v>
      </c>
    </row>
    <row r="31" spans="1:10">
      <c r="A31" s="1">
        <f t="shared" si="1"/>
        <v>17</v>
      </c>
      <c r="B31" s="2">
        <v>5932</v>
      </c>
      <c r="C31" s="2">
        <v>4019</v>
      </c>
      <c r="D31" s="2">
        <v>451</v>
      </c>
      <c r="E31" s="2">
        <v>1161</v>
      </c>
      <c r="F31" s="2">
        <v>301</v>
      </c>
      <c r="G31" s="2">
        <v>132</v>
      </c>
      <c r="H31" s="2">
        <v>220.89</v>
      </c>
      <c r="I31" s="3">
        <v>418.65</v>
      </c>
      <c r="J31" s="4">
        <v>-47.24</v>
      </c>
    </row>
    <row r="32" spans="1:10">
      <c r="A32" s="1">
        <f t="shared" si="1"/>
        <v>18</v>
      </c>
      <c r="B32" s="2">
        <v>3975</v>
      </c>
      <c r="C32" s="2">
        <v>2658</v>
      </c>
      <c r="D32" s="2">
        <v>322</v>
      </c>
      <c r="E32" s="2">
        <v>783</v>
      </c>
      <c r="F32" s="2">
        <v>212</v>
      </c>
      <c r="G32" s="2">
        <v>142</v>
      </c>
      <c r="H32" s="2">
        <v>148.01</v>
      </c>
      <c r="I32" s="3">
        <v>340.46</v>
      </c>
      <c r="J32" s="4">
        <v>-56.53</v>
      </c>
    </row>
    <row r="33" spans="1:10">
      <c r="A33" s="1">
        <f t="shared" si="1"/>
        <v>19</v>
      </c>
      <c r="B33" s="2">
        <v>3970</v>
      </c>
      <c r="C33" s="2">
        <v>2645</v>
      </c>
      <c r="D33" s="2">
        <v>312</v>
      </c>
      <c r="E33" s="2">
        <v>816</v>
      </c>
      <c r="F33" s="2">
        <v>197</v>
      </c>
      <c r="G33" s="2">
        <v>118</v>
      </c>
      <c r="H33" s="2">
        <v>147.83000000000001</v>
      </c>
      <c r="I33" s="3">
        <v>384.56</v>
      </c>
      <c r="J33" s="4">
        <v>-61.56</v>
      </c>
    </row>
    <row r="34" spans="1:10">
      <c r="A34" s="1">
        <f t="shared" si="1"/>
        <v>20</v>
      </c>
      <c r="B34" s="2">
        <v>3990</v>
      </c>
      <c r="C34" s="2">
        <v>2649</v>
      </c>
      <c r="D34" s="2">
        <v>326</v>
      </c>
      <c r="E34" s="2">
        <v>795</v>
      </c>
      <c r="F34" s="2">
        <v>220</v>
      </c>
      <c r="G34" s="2">
        <v>69</v>
      </c>
      <c r="H34" s="2">
        <v>148.57</v>
      </c>
      <c r="I34" s="3">
        <v>459.97</v>
      </c>
      <c r="J34" s="4">
        <v>-67.7</v>
      </c>
    </row>
  </sheetData>
  <mergeCells count="10">
    <mergeCell ref="A1:A2"/>
    <mergeCell ref="B1:B2"/>
    <mergeCell ref="C1:C2"/>
    <mergeCell ref="I1:I2"/>
    <mergeCell ref="J1:J2"/>
    <mergeCell ref="D1:D2"/>
    <mergeCell ref="E1:E2"/>
    <mergeCell ref="F1:F2"/>
    <mergeCell ref="G1:G2"/>
    <mergeCell ref="H1:H2"/>
  </mergeCells>
  <conditionalFormatting sqref="H13">
    <cfRule type="cellIs" dxfId="0" priority="1" stopIfTrue="1" operator="greaterThan">
      <formula>$H13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</dc:creator>
  <cp:lastModifiedBy>Андрей Гримов</cp:lastModifiedBy>
  <dcterms:created xsi:type="dcterms:W3CDTF">2021-04-11T15:21:47Z</dcterms:created>
  <dcterms:modified xsi:type="dcterms:W3CDTF">2021-04-17T18:51:03Z</dcterms:modified>
</cp:coreProperties>
</file>